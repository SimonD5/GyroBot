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asm\.gemini\antigravity\brain\1978af80-5a5c-4210-b052-21cb281392f5\"/>
    </mc:Choice>
  </mc:AlternateContent>
  <xr:revisionPtr revIDLastSave="0" documentId="13_ncr:1_{DD391554-BD97-4BCC-92BD-1C8A1704C9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irements" sheetId="1" r:id="rId1"/>
    <sheet name="Component Selection" sheetId="2" r:id="rId2"/>
    <sheet name="Architecture Comparison" sheetId="3" r:id="rId3"/>
    <sheet name="Energy Bal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K16" i="2"/>
</calcChain>
</file>

<file path=xl/sharedStrings.xml><?xml version="1.0" encoding="utf-8"?>
<sst xmlns="http://schemas.openxmlformats.org/spreadsheetml/2006/main" count="523" uniqueCount="399">
  <si>
    <t>Criterion</t>
  </si>
  <si>
    <t>Level</t>
  </si>
  <si>
    <t>Tolerance</t>
  </si>
  <si>
    <t>Unit</t>
  </si>
  <si>
    <t>Associated function</t>
  </si>
  <si>
    <t>Selected technical solution</t>
  </si>
  <si>
    <t>Compliance</t>
  </si>
  <si>
    <t>2D Map accuracy / precision</t>
  </si>
  <si>
    <t>-3 / +5</t>
  </si>
  <si>
    <t>cm</t>
  </si>
  <si>
    <t>FP1 (Capture environment)</t>
  </si>
  <si>
    <t>Slamtec RPLIDAR C1 (±30 mm accuracy)</t>
  </si>
  <si>
    <t>YES</t>
  </si>
  <si>
    <t>LiDAR maximum measurement range</t>
  </si>
  <si>
    <t>± 2</t>
  </si>
  <si>
    <t>m</t>
  </si>
  <si>
    <t>Map refresh rate</t>
  </si>
  <si>
    <t>± 1</t>
  </si>
  <si>
    <t>Hz</t>
  </si>
  <si>
    <t>FP1 / FP3 (HMI display)</t>
  </si>
  <si>
    <t>RPLIDAR C1 (8 to 12 Hz, typical 10 Hz)</t>
  </si>
  <si>
    <t>Nominal travel speed</t>
  </si>
  <si>
    <t>km/h</t>
  </si>
  <si>
    <t>FP2 (Movement in environment)</t>
  </si>
  <si>
    <t>DFRobot FIT0521 (210 RPM) + Custom 70-90 mm 3D wheels (~2.8 to 3.5 km/h)</t>
  </si>
  <si>
    <t>Minimum turning radius</t>
  </si>
  <si>
    <t>0.5</t>
  </si>
  <si>
    <t>± 0.2</t>
  </si>
  <si>
    <t>Differential drive 2 wheels (spot turn R = 0 m)</t>
  </si>
  <si>
    <t>Maximum climbable slope</t>
  </si>
  <si>
    <t>&gt; 30</t>
  </si>
  <si>
    <t>/</t>
  </si>
  <si>
    <t>°</t>
  </si>
  <si>
    <t>FS2 (Terrain adaptation)</t>
  </si>
  <si>
    <t>FIT0521 34:1 gear ratio (10 kg·cm stall torque) + high-grip TPU 3D tires</t>
  </si>
  <si>
    <t>Wheel slip</t>
  </si>
  <si>
    <t>None</t>
  </si>
  <si>
    <t>FS2 (Ground grip)</t>
  </si>
  <si>
    <t>Custom 3D printed wheels with TPU 95A high-friction tread</t>
  </si>
  <si>
    <t>Tip-over / Fall</t>
  </si>
  <si>
    <t>FC1 (Self-balancing on 2 wheels)</t>
  </si>
  <si>
    <t>200 Hz PID loop on ESP32-C6 + LSM6DSOX IMU (Thrust &gt; 43N guarantees a &gt; 4.4g)</t>
  </si>
  <si>
    <t>Balance control loop frequency</t>
  </si>
  <si>
    <t>FC1 (Inverted pendulum stability)</t>
  </si>
  <si>
    <t>ESP32-C6 real-time task (5 ms period, jitter &lt; 50 µs)</t>
  </si>
  <si>
    <t>Command response time</t>
  </si>
  <si>
    <t>&lt; 50</t>
  </si>
  <si>
    <t>ms</t>
  </si>
  <si>
    <t>FP4 (Remote control)</t>
  </si>
  <si>
    <t>ESP-NOW 2.4 GHz protocol (latency &lt; 5 ms)</t>
  </si>
  <si>
    <t>Remote control radio range (indoor)</t>
  </si>
  <si>
    <t>ESP-NOW 2.4 GHz (&gt; 40 m indoors)</t>
  </si>
  <si>
    <t>Remote control radio range (outdoor)</t>
  </si>
  <si>
    <t>&gt; 150</t>
  </si>
  <si>
    <t>ESP-NOW 2.4 GHz (&gt; 200 m line-of-sight)</t>
  </si>
  <si>
    <t>Bandwidth robot -&gt; Remote control</t>
  </si>
  <si>
    <t>kbps</t>
  </si>
  <si>
    <t>FP4 (Telemetry feedback)</t>
  </si>
  <si>
    <t>ESP-NOW frame (up to 1 Mbps payload bandwidth)</t>
  </si>
  <si>
    <t>Bandwidth robot -&gt; PC HMI</t>
  </si>
  <si>
    <t>&gt; 2</t>
  </si>
  <si>
    <t>Mbps</t>
  </si>
  <si>
    <t>FP3 (Real-time HMI feedback)</t>
  </si>
  <si>
    <t>Wi-Fi 802.11ac Raspberry Pi 5 (&gt; 50 Mbps actual)</t>
  </si>
  <si>
    <t>Display / video latency</t>
  </si>
  <si>
    <t>&lt; 100</t>
  </si>
  <si>
    <t>FP3 (User experience)</t>
  </si>
  <si>
    <t>Sony IMX219 hardware H.264 encode + WebRTC</t>
  </si>
  <si>
    <t>Maximum total robot weight</t>
  </si>
  <si>
    <t>&lt; 1.5</t>
  </si>
  <si>
    <t>kg</t>
  </si>
  <si>
    <t>FS1 (Mass budget management)</t>
  </si>
  <si>
    <t>Total estimated mass: ~1.05 kg (450 g safety margin)</t>
  </si>
  <si>
    <t>Center of Gravity (CoG) position</t>
  </si>
  <si>
    <t>Centered above wheel axis</t>
  </si>
  <si>
    <t>FS1 (Mechanical balancing)</t>
  </si>
  <si>
    <t>3S Battery &amp; Raspberry Pi 5 vertically centered</t>
  </si>
  <si>
    <t>Minimum operational autonomy</t>
  </si>
  <si>
    <t>&gt; 3</t>
  </si>
  <si>
    <t>min</t>
  </si>
  <si>
    <t>FC3 (Electrical power supply)</t>
  </si>
  <si>
    <t>3S 2700 mAh LiPo: &gt; 60 min active drive (&gt;20x margin)</t>
  </si>
  <si>
    <t>Nominal supply voltage</t>
  </si>
  <si>
    <t>11.1 (3S)</t>
  </si>
  <si>
    <t>V</t>
  </si>
  <si>
    <t>Beez2B 3S LiPo battery (11.1V nom. / 12.6V max)</t>
  </si>
  <si>
    <t>Battery replacement time</t>
  </si>
  <si>
    <t>&lt; 1</t>
  </si>
  <si>
    <t>FP5 / FC8 (Easy maintenance)</t>
  </si>
  <si>
    <t>Tool-free battery compartment with XT60 connector</t>
  </si>
  <si>
    <t>Connected element</t>
  </si>
  <si>
    <t>Host board</t>
  </si>
  <si>
    <t>No. of elements</t>
  </si>
  <si>
    <t>Analog channels</t>
  </si>
  <si>
    <t>Digital inputs</t>
  </si>
  <si>
    <t>Digital outputs</t>
  </si>
  <si>
    <t>I2C pins</t>
  </si>
  <si>
    <t>UART pins</t>
  </si>
  <si>
    <t>MIPI CSI port</t>
  </si>
  <si>
    <t>Total pins</t>
  </si>
  <si>
    <t>Motor driver MDD10A (PWM)</t>
  </si>
  <si>
    <t>ESP32-C6</t>
  </si>
  <si>
    <t>20 kHz PWM signals (left and right motor speed, software clamped to ~55% for 6V)</t>
  </si>
  <si>
    <t>Motor driver MDD10A (DIR)</t>
  </si>
  <si>
    <t>Direction control signals (left and right motors)</t>
  </si>
  <si>
    <t>Integrated quadrature encoders FIT0521</t>
  </si>
  <si>
    <t>Channels A &amp; B (11 PPR x 34.02 = 374 PPR, 1496 counts/rev in 4x) for precise odometry</t>
  </si>
  <si>
    <t>IMU sensor LSM6DSOX</t>
  </si>
  <si>
    <t>Inter-board serial link</t>
  </si>
  <si>
    <t>Battery 3S voltage sensing</t>
  </si>
  <si>
    <t>Analog ADC via precision divider (100k/22k)</t>
  </si>
  <si>
    <t>Status / diagnostic LED</t>
  </si>
  <si>
    <t>Balance state and radio link status indicator</t>
  </si>
  <si>
    <t>LiDAR scanner RPLIDAR C1</t>
  </si>
  <si>
    <t>Raspberry Pi 5 8GB</t>
  </si>
  <si>
    <t>Camera module Pi v2.1</t>
  </si>
  <si>
    <t>MIPI CSI-2 2-lane via SC1128 20 cm ribbon cable</t>
  </si>
  <si>
    <t>UART0 (GPIO 14/15) to exchange commands &amp; odometry</t>
  </si>
  <si>
    <t>Indicator</t>
  </si>
  <si>
    <t>Required value</t>
  </si>
  <si>
    <t>Hardware allocation</t>
  </si>
  <si>
    <t>Balance control loop rate</t>
  </si>
  <si>
    <t>200 Hz (T = 5 ms)</t>
  </si>
  <si>
    <t>ESP32-C6 (RISC-V)</t>
  </si>
  <si>
    <t>Deterministic hard real-time execution with jitter &lt; 50 µs, guaranteed outside Linux OS</t>
  </si>
  <si>
    <t>IMU data acquisition</t>
  </si>
  <si>
    <t>200 Hz (ODR 208 Hz)</t>
  </si>
  <si>
    <t>Complementary filter / EKF pitch attitude estimation from LSM6DSOX data</t>
  </si>
  <si>
    <t>Remote control command reception</t>
  </si>
  <si>
    <t>50 Hz (T = 20 ms)</t>
  </si>
  <si>
    <t>ESP-NOW frame from ESP32-S3 remote control (radio latency &lt; 5 ms)</t>
  </si>
  <si>
    <t>LiDAR telemetry acquisition</t>
  </si>
  <si>
    <t>5,000 points / s (10 Hz)</t>
  </si>
  <si>
    <t>Continuous 460800 baud stream decoded by Slamtec ROS2 driver node</t>
  </si>
  <si>
    <t>Simultaneous 2D SLAM mapping</t>
  </si>
  <si>
    <t>Real-time (&gt; 2 Hz)</t>
  </si>
  <si>
    <t>High-resolution video stream to HMI</t>
  </si>
  <si>
    <t>Sony IMX219 hardware ISP encode, low-latency RTSP/WebRTC stream to PC HMI</t>
  </si>
  <si>
    <t>High-speed data link to PC HMI</t>
  </si>
  <si>
    <t>&gt; 2 Mbps (typ. 50 Mbps)</t>
  </si>
  <si>
    <t>Dual-band 802.11ac Wi-Fi transmitting to the Penguin HMI application</t>
  </si>
  <si>
    <t>Physical GPIOs used on ESP32-C6</t>
  </si>
  <si>
    <t>13 pins</t>
  </si>
  <si>
    <t>ESP32-C6 DevKitC-1</t>
  </si>
  <si>
    <t>DevKitC-1 provides 22 usable GPIOs -&gt; 9 spare GPIOs margin</t>
  </si>
  <si>
    <t>No.</t>
  </si>
  <si>
    <t>Function performed</t>
  </si>
  <si>
    <t>Component selected</t>
  </si>
  <si>
    <t>Reference / model</t>
  </si>
  <si>
    <t>Main characteristics (Datasheet)</t>
  </si>
  <si>
    <t>Alternatives considered</t>
  </si>
  <si>
    <t>Alternative drawbacks</t>
  </si>
  <si>
    <t>Qty</t>
  </si>
  <si>
    <t>Unit price (€)</t>
  </si>
  <si>
    <t>Total price (€)</t>
  </si>
  <si>
    <t>Status / Procurement</t>
  </si>
  <si>
    <t>High-level compute &amp; SLAM mapping</t>
  </si>
  <si>
    <t>Single Board Computer (SBC)</t>
  </si>
  <si>
    <t>Raspberry Pi 5 (8GB)</t>
  </si>
  <si>
    <t>Provided by Polytech. Essential computing power and generous 8GB RAM to run Cartographer 2D SLAM, filter 5000 pts/s from LiDAR, encode 1080p H.264 video, and serve the PC HMI (&gt; 2 Mbps) without memory bottlenecks.</t>
  </si>
  <si>
    <t>Raspberry Pi 4B (8GB)
NVIDIA Jetson Nano
Raspberry Pi 5 (4GB)</t>
  </si>
  <si>
    <t>Pi 4B: CPU saturation under simultaneous SLAM and video.
Jetson: excessive power draw (&gt; 15W), significantly heavier.
Pi 5 4GB: tighter memory buffer during extended SLAM mapping.</t>
  </si>
  <si>
    <t>Real-time balance &amp; radio control</t>
  </si>
  <si>
    <t>Microcontroller</t>
  </si>
  <si>
    <t>ESP32-C6-DevKitC-1 V2.1</t>
  </si>
  <si>
    <t>Provided by Polytech. Guarantees strict 200 Hz balance PID loop (5 ms period, zero OS jitter). Supports native low-latency ESP-NOW link with ESP32-S3 remote control (&lt; 5 ms).</t>
  </si>
  <si>
    <t>Raspberry Pi 5 alone (Linux)
Arduino Nano / STM32F4</t>
  </si>
  <si>
    <t>Pi 5 alone: Linux non-RTOS scheduler causes balance jitter and robot tipping.
Arduino: 8-bit too slow, no native Wi-Fi for ESP-NOW.</t>
  </si>
  <si>
    <t>360° Laser rangefinding for mapping</t>
  </si>
  <si>
    <t>360° LiDAR scanner</t>
  </si>
  <si>
    <t>Slamtec RPLIDAR C1 (Code 38763)</t>
  </si>
  <si>
    <t>DToF technology, 0.05 to 12 m range, ±30 mm resolution, 5000 samples/s, 8-12 Hz scan rate (typ. 10 Hz), UART 460800 bps, 5V / 230 mA, IP54</t>
  </si>
  <si>
    <t>Matches all CdCF criteria: range &gt; 10 m (up to 12 m), accuracy ±3 cm (&lt; 5 cm required), scan rate 10 Hz (&gt; 2 Hz required). Compact (110 g) and IP54 rated.</t>
  </si>
  <si>
    <t>RPLIDAR A1M8 (Triangulation)
Single-point ToF / Ultrasonic</t>
  </si>
  <si>
    <t>A1M8: triangulation vulnerable to ambient sunlight, limited to 6m.
Single ToF: no 360° panoramic field of view.</t>
  </si>
  <si>
    <t>PURCHASED (GoTronic)</t>
  </si>
  <si>
    <t>Attitude estimation &amp; Dynamic balance</t>
  </si>
  <si>
    <t>6 DoF IMU Module</t>
  </si>
  <si>
    <t>Adafruit LSM6DSOX (ADA4438)</t>
  </si>
  <si>
    <t>3-axis accel (±2 to ±16g) + 3-axis gyro (±125 to ±2000 dps), ultra-low noise 3.8 mdps/√Hz, I2C/SPI Qwiic, 0.55 mA</t>
  </si>
  <si>
    <t>Core component for 2-wheel self-balancing (FC1). Ultra-low gyroscopic drift and high immunity to motor mechanical vibrations.</t>
  </si>
  <si>
    <t>MPU-6050 (obsolete)
BNO055 (internal fusion)</t>
  </si>
  <si>
    <t>MPU-6050: high thermal drift, end-of-life.
BNO055: internal fusion blocking, 3x higher cost.</t>
  </si>
  <si>
    <t>Propulsion, dynamic balancing &amp; odometry</t>
  </si>
  <si>
    <t>6V Metal DC Gearmotor with Integrated Encoder</t>
  </si>
  <si>
    <t>DFRobot FIT0521 (Code GoTronic 35841)</t>
  </si>
  <si>
    <t>6V DC (PWM clamped ~50-55% via MDD10A), 34:1 all-metal gearbox, no-load speed 210 RPM, stall torque 10 kg·cm (0.98 N·m), stall current 3.2A, integrated Hall quadrature encoder (11 PPR motor / 374 PPR output, 1496 counts/rev in 4x), 4 mm D-shaft, Ø 24.4 x 52 mm</t>
  </si>
  <si>
    <t>Solves the lack of matched motor pair at FabLab. Multiplies stall torque by 3.3x (10 kg·cm vs 3 kg·cm) as recommended by professor to maximize safety margin against tipping. Slower 210 RPM speed prevents tire slip and LiDAR distortion. Integrated 1496 ticks/rev quadrature encoders enable high-precision odometry (&lt; 0.2 mm/tick) and real-time balance loop without external brackets.</t>
  </si>
  <si>
    <t>DFRobot FIT0482 (Micro N20 6V 50:1)
Sha Yang Ye IG-22 12V 1:19
Pololu 25D 12V with encoder</t>
  </si>
  <si>
    <t>N20 FIT0482: torque too low (0.8 kg·cm) for a 1.0 kg robot.
IG-22: unavailable in matched pair, no encoders.
Pololu 25D: exceeds budget (&gt; 60 € for pair).</t>
  </si>
  <si>
    <t>Motor power H-bridge</t>
  </si>
  <si>
    <t>Dual Motor Driver 2x10A</t>
  </si>
  <si>
    <t>Cytron MDD10A (Code 38327)</t>
  </si>
  <si>
    <t>Dual NMOS H-bridge, 5V to 30V DC, 10A cont / 30A peak per channel, PWM up to 20 kHz, 3.3V/5V logic, test buttons</t>
  </si>
  <si>
    <t>Silent ultrasonic 20 kHz PWM. Effortlessly drives 6V FIT0521 motors via PWM duty cycle clamping (~55%). Handles motor stall currents (3.2A) with zero heat dissipation (no heatsink needed). Integrated manual test buttons simplify bench validation.</t>
  </si>
  <si>
    <t>Shield L298N (bipolar)
TB6612FNG (1.2A)</t>
  </si>
  <si>
    <t>L298N: bipolar bridge loses 2-3V as heat, terrible efficiency.
TB6612: 1.2A limit is too tight for stall currents.</t>
  </si>
  <si>
    <t>Vision &amp; Remote inspection</t>
  </si>
  <si>
    <t>High-resolution camera</t>
  </si>
  <si>
    <t>Raspberry Pi Camera v2.1 (E305654)</t>
  </si>
  <si>
    <t>Provided by Polytech. Provides real-time video feedback on PC HMI. Fulfills the requirement for camera/LiDAR versatility for remote inspection of confined spaces.</t>
  </si>
  <si>
    <t>Standard USB webcam
Raspberry Pi HQ Camera</t>
  </si>
  <si>
    <t>USB webcam: heavy CPU load on USB bus.
HQ Camera: bulky and heavy external lens assembly.</t>
  </si>
  <si>
    <t>Camera ribbon cable</t>
  </si>
  <si>
    <t>CSI / MIPI 20 cm ribbon cable</t>
  </si>
  <si>
    <t>SC1128 cable for Pi 5 (Code 38646)</t>
  </si>
  <si>
    <t>20 cm length, 22-pin 0.5 mm pitch to 15-pin 1.0 mm pitch, shielded flexible flat cable</t>
  </si>
  <si>
    <t>Mandatory adapter cable to connect Camera v2.1 (15-pin 1 mm connector) to Raspberry Pi 5 new high-density mini-CSI port (22-pin 0.5 mm).</t>
  </si>
  <si>
    <t>Standard Pi 3/4 cable
USB cable extension</t>
  </si>
  <si>
    <t>Standard Pi 3/4 cable: physically incompatible with Pi 5 mini-CSI socket.</t>
  </si>
  <si>
    <t>Ground contact and dynamic mobility</t>
  </si>
  <si>
    <t>Custom Parametric 3D Printed Wheels</t>
  </si>
  <si>
    <t>Ø 70 to 90 mm (Nominal 80 mm) PETG/TPU Wheels</t>
  </si>
  <si>
    <t>Rigid PETG rim with 4 mm D-shaft hub + M3 grub screw brass insert. Flexible TPU 95A outer tread (or rubber O-ring) for maximum floor grip. Parametric CAD design (scalable from 70 to 90 mm).</t>
  </si>
  <si>
    <t>Designed on CAD and 3D printed at FabLab (0 €). The 70-90 mm diameter range combined with the 10 kg·cm torque of the FIT0521 motors delivers a massive horizontal thrust of 43.6 N to 56.0 N (acceleration 4.4 g to 5.7 g, far above the 1.0 g / 9.81 m/s² critical tipping threshold). Ensures 23 to 33 mm ground clearance and up to ±25° tilt angle before chassis contact.</t>
  </si>
  <si>
    <t>Commercial robot wheels 65 mm (FIT0385)
Large 120 mm wheels</t>
  </si>
  <si>
    <t>Commercial wheels: fixed size, extra cost.
120 mm wheels: excessive rotational inertia, decreases dynamic torque response.</t>
  </si>
  <si>
    <t>Main 5V voltage regulation</t>
  </si>
  <si>
    <t>5A Step-Down Buck Converter</t>
  </si>
  <si>
    <t>DFRobot DFR0205 (Code 31698)</t>
  </si>
  <si>
    <t>High-efficiency buck converter, input 3.6-25V, selectable 5V fixed / adjustable, 5A continuous (25W), 88% efficiency, terminal + pin headers</t>
  </si>
  <si>
    <t>Powers the 5V rail (Raspberry Pi 5 8GB, LiDAR, ESP32, sensors) from the 11.1V battery with 60% headroom (nominal load ~2A vs 5A capacity). Prevents Pi 5 undervoltage throttles.</t>
  </si>
  <si>
    <t>LM7805 linear regulator
LM2596 module (3A)</t>
  </si>
  <si>
    <t>LM7805: dissipates ~15W as pure heat.
LM2596: limited to 2-3A max, causes brownouts on Pi 5.</t>
  </si>
  <si>
    <t>Onboard energy storage</t>
  </si>
  <si>
    <t>LiPo 3S 11.1V 30C Battery</t>
  </si>
  <si>
    <t>Beez2B 3S 2700 mAh 30C</t>
  </si>
  <si>
    <t>11.1V nominal (12.6V max), 2700 mAh (29.97 Wh), 30C continuous (81A), XT60 connector, JST-XH balance lead, ~205g</t>
  </si>
  <si>
    <t>Provided by Polytech. Direct 11.1V supply to Cytron MDD10A. 81A continuous capacity guarantees zero voltage sag. Provides &gt; 60 min runtime (well above 3 min requirement).</t>
  </si>
  <si>
    <t>NiMH 10x 1.2V pack
18650 Li-ion 3S1P
LiPo 2S (7.4V)</t>
  </si>
  <si>
    <t>NiMH: poor energy density (too heavy).
18650: weak peak discharge (&lt; 10A).
2S: voltage too low for motors.</t>
  </si>
  <si>
    <t>Evaluation criterion</t>
  </si>
  <si>
    <t>Strict 200 Hz balance PID loop capability</t>
  </si>
  <si>
    <t>200 Hz guaranteed (Hard RTOS)</t>
  </si>
  <si>
    <t>Unstable (Linux scheduler jitter)</t>
  </si>
  <si>
    <t>200 Hz guaranteed</t>
  </si>
  <si>
    <t>100 Hz max (8-bit CPU saturated)</t>
  </si>
  <si>
    <t>2D SLAM computation capacity (Cartographer)</t>
  </si>
  <si>
    <t>MIPS / FLOPS</t>
  </si>
  <si>
    <t>Excellent (4x A76 + 8GB)</t>
  </si>
  <si>
    <t>Impossible (no FPU/RAM)</t>
  </si>
  <si>
    <t>Insufficient (RPi 3B throttles)</t>
  </si>
  <si>
    <t>Simultaneous 5 kHz LiDAR + 1080p Camera</t>
  </si>
  <si>
    <t>-</t>
  </si>
  <si>
    <t>YES (dedicated MIPI bus + DMA)</t>
  </si>
  <si>
    <t>YES (shared CPU)</t>
  </si>
  <si>
    <t>NO (no CSI bus)</t>
  </si>
  <si>
    <t>Partial (framerate drops)</t>
  </si>
  <si>
    <t>Remote control link latency</t>
  </si>
  <si>
    <t>&lt; 5 ms (ESP-NOW direct)</t>
  </si>
  <si>
    <t>&gt; 40 ms (Wi-Fi TCP/IP)</t>
  </si>
  <si>
    <t>10-20 ms (external module)</t>
  </si>
  <si>
    <t>&gt; 50 ms</t>
  </si>
  <si>
    <t>Video and telemetry data rate to PC HMI</t>
  </si>
  <si>
    <t>&gt; 50 Mbps (Wi-Fi 802.11ac)</t>
  </si>
  <si>
    <t>&gt; 50 Mbps</t>
  </si>
  <si>
    <t>&lt; 1 Mbps (UART/SPI)</t>
  </si>
  <si>
    <t>~15 Mbps (Wi-Fi n)</t>
  </si>
  <si>
    <t>Meets the balance criterion (FC1 : no tip-over) ?</t>
  </si>
  <si>
    <t>NO (risk of fall)</t>
  </si>
  <si>
    <t>NO</t>
  </si>
  <si>
    <t>Meets the SLAM mapping criterion (FP1 : 5 cm) ?</t>
  </si>
  <si>
    <t>PARTIAL</t>
  </si>
  <si>
    <t>Meets the total weight limit (&lt; 1.5 kg) ?</t>
  </si>
  <si>
    <t>Compliant with all Gyrobot CdCF requirements ?</t>
  </si>
  <si>
    <t>NO (Eliminated FC1)</t>
  </si>
  <si>
    <t>NO (Eliminated FP1)</t>
  </si>
  <si>
    <t>NO (Eliminated FC1/FP1)</t>
  </si>
  <si>
    <t>1. Power supply parameters</t>
  </si>
  <si>
    <t>Parameter</t>
  </si>
  <si>
    <t>Value</t>
  </si>
  <si>
    <t>Comment &amp; Technical source</t>
  </si>
  <si>
    <t>Nominal battery voltage</t>
  </si>
  <si>
    <t>Beez2B 3S LiPo pack (3x 3.7V nominal)</t>
  </si>
  <si>
    <t>Full charge battery voltage</t>
  </si>
  <si>
    <t>Full charge at 4.20V per cell</t>
  </si>
  <si>
    <t>Cutoff voltage (safety)</t>
  </si>
  <si>
    <t>Low safety threshold at 3.30V per cell (prevents cell damage)</t>
  </si>
  <si>
    <t>Battery nominal capacity</t>
  </si>
  <si>
    <t>mAh</t>
  </si>
  <si>
    <t>Beez2B 3S LiPo battery selected</t>
  </si>
  <si>
    <t>Nominal energy stored</t>
  </si>
  <si>
    <t>Wh</t>
  </si>
  <si>
    <t>Capacity x Nominal voltage = 2.7 Ah x 11.1 V</t>
  </si>
  <si>
    <t>Continuous discharge rating</t>
  </si>
  <si>
    <t>C</t>
  </si>
  <si>
    <t>Max continuous discharge current = 30C x 2.7 A = 81 A</t>
  </si>
  <si>
    <t>Usable capacity fraction</t>
  </si>
  <si>
    <t>Assumption: 80% DoD (standard LiPo safety margin)</t>
  </si>
  <si>
    <t>Usable capacity</t>
  </si>
  <si>
    <t>2700 mAh x 80% usable depth</t>
  </si>
  <si>
    <t>DFR0205 output voltage</t>
  </si>
  <si>
    <t>Regulated 5V rail for Raspberry Pi 5 8GB, LiDAR and sensors</t>
  </si>
  <si>
    <t>Converter efficiency</t>
  </si>
  <si>
    <t>Max DFR0205 continuous current</t>
  </si>
  <si>
    <t>mA</t>
  </si>
  <si>
    <t>Manufacturer rating: 5.0 A (25 W)</t>
  </si>
  <si>
    <t>2. Element power consumption</t>
  </si>
  <si>
    <t>Element</t>
  </si>
  <si>
    <t>Power rail</t>
  </si>
  <si>
    <t>Unit current (mA)</t>
  </si>
  <si>
    <t>Total current (mA)</t>
  </si>
  <si>
    <t>Power (mW)</t>
  </si>
  <si>
    <t>Operating mode / Datasheet source</t>
  </si>
  <si>
    <t>Raspberry Pi 5 8GB (Cartographer SLAM + Wi-Fi HMI)</t>
  </si>
  <si>
    <t>5V rail (DFR0205)</t>
  </si>
  <si>
    <t>Active 4-core under ROS2 + continuous 802.11ac Wi-Fi + 8GB RAM (typ. 1.55A, peak 2.3A)</t>
  </si>
  <si>
    <t>Slamtec RPLIDAR C1 (360° laser scanner)</t>
  </si>
  <si>
    <t>Continuous 10 Hz rotation and laser ranging (5000 pts/s)</t>
  </si>
  <si>
    <t>Pi Camera v2.1 (Sony IMX219)</t>
  </si>
  <si>
    <t>5V rail (via RPi)</t>
  </si>
  <si>
    <t>Powered at 3.3V (250 mA) via internal Pi 5 LDO, reflected on 5V rail</t>
  </si>
  <si>
    <t>ESP32-C6-DevKitC-1</t>
  </si>
  <si>
    <t>Active 200 Hz PID loop + continuous ESP-NOW RX/TX (peak 160 mA)</t>
  </si>
  <si>
    <t>IMU LSM6DSOX (ADA4438)</t>
  </si>
  <si>
    <t>Cytron MDD10A control logic</t>
  </si>
  <si>
    <t>Internal logic and input optocoupler buffers</t>
  </si>
  <si>
    <t>DFRobot FIT0521 DC motors (Balancing mode)</t>
  </si>
  <si>
    <t>11.1V rail (via MDD10A)</t>
  </si>
  <si>
    <t>DFRobot FIT0521 DC motors (Cruise ~3 km/h)</t>
  </si>
  <si>
    <t>Active cruising travel at ~3 km/h on flat ground (~260 mA avg from 11.1V per motor)</t>
  </si>
  <si>
    <t>DFRobot FIT0521 DC motors (Slope &gt; 30° / Peak)</t>
  </si>
  <si>
    <t>High-torque climbing on 30° inclined ramp (~550 mA avg from 11.1V per motor)</t>
  </si>
  <si>
    <t>Performance indicator</t>
  </si>
  <si>
    <t>Total current on the 5V rail</t>
  </si>
  <si>
    <t>Sum of RPi 5 8GB (1550) + LiDAR (230) + Camera (180) + ESP32 (70) + IMU (1) + Driver (5)</t>
  </si>
  <si>
    <t>Total power on the 5V rail</t>
  </si>
  <si>
    <t>W</t>
  </si>
  <si>
    <t>P = U x I = 5.0 V x 2.036 A</t>
  </si>
  <si>
    <t>Current drawn from battery (5V rail)</t>
  </si>
  <si>
    <t>I_bat(5V) = P_5V / (Efficiency x V_bat) = 10.18 / (0.88 x 11.1)</t>
  </si>
  <si>
    <t>Motor battery current (Balancing mode)</t>
  </si>
  <si>
    <t>2x FIT0521 motors in pendulum stabilization = 2x 160 mA from 11.1V</t>
  </si>
  <si>
    <t>Total battery current (Balancing mode)</t>
  </si>
  <si>
    <t>Sum of 5V rail (1042 mA) + Balancing motors (320 mA)</t>
  </si>
  <si>
    <t>Total power (Balancing mode)</t>
  </si>
  <si>
    <t>P_total = 11.1 V x 1.362 A</t>
  </si>
  <si>
    <t>Estimated autonomy (Balancing mode)</t>
  </si>
  <si>
    <t>h</t>
  </si>
  <si>
    <t>Usable capacity (2160 mAh) / 1362 mA = 95.2 minutes (1h 35min)</t>
  </si>
  <si>
    <t>Total battery current (Cruise ~3 km/h)</t>
  </si>
  <si>
    <t>Sum of 5V rail (1042 mA) + Cruising motors (520 mA)</t>
  </si>
  <si>
    <t>Total power (Cruise ~3 km/h)</t>
  </si>
  <si>
    <t>P_total = 11.1 V x 1.562 A</t>
  </si>
  <si>
    <t>Estimated autonomy (Cruise ~3 km/h)</t>
  </si>
  <si>
    <t>Usable capacity (2160 mAh) / 1562 mA = 83.0 minutes (1h 23min)</t>
  </si>
  <si>
    <t>Total battery current (Slope &gt; 30°)</t>
  </si>
  <si>
    <t>Sum of 5V rail (1042 mA) + Slope climbing motors (1100 mA)</t>
  </si>
  <si>
    <t>Estimated autonomy (Slope &gt; 30°)</t>
  </si>
  <si>
    <t>Usable capacity (2160 mAh) / 2142 mA = 60.5 minutes (1h 00min)</t>
  </si>
  <si>
    <t>Minimum required autonomy</t>
  </si>
  <si>
    <t>Specifications: Table 1 (p.14) 'Minimum autonomy &gt; 3 min'</t>
  </si>
  <si>
    <t>Autonomy compliance</t>
  </si>
  <si>
    <t>Actual autonomy (60 to 95 min) exceeds minimum requirement by &gt; 20x !</t>
  </si>
  <si>
    <t>DFR0205 max continuous current</t>
  </si>
  <si>
    <t>Manufacturer rating: 5.0 A continuous</t>
  </si>
  <si>
    <t>DFR0205 current margin</t>
  </si>
  <si>
    <t>%</t>
  </si>
  <si>
    <t>(5000 - 2036) / 5000 = 59.3% safety margin available</t>
  </si>
  <si>
    <t>Voltage margin Vbattery_min - Voutput</t>
  </si>
  <si>
    <t>At full discharge: 9.9V - 5.0V = 4.9V (well above 1.5V dropout requirement)</t>
  </si>
  <si>
    <t>Sufficient voltage margin ?</t>
  </si>
  <si>
    <t>YES (COMPLIANT)</t>
  </si>
  <si>
    <t>Buck regulator maintains rock-solid 5.0V output down to cutoff</t>
  </si>
  <si>
    <t>Comments</t>
  </si>
  <si>
    <t xml:space="preserve"> Energy Balance, sizing and autonomy</t>
  </si>
  <si>
    <t>Comparison of control and processing architectures</t>
  </si>
  <si>
    <t>ESP32-C6 + RPi 5 8GB</t>
  </si>
  <si>
    <t>Raspberry Pi 5 8GB alone</t>
  </si>
  <si>
    <t>STM32F4 + Wi-Fi</t>
  </si>
  <si>
    <t>Arduino Mega + RPi 3B</t>
  </si>
  <si>
    <t>NO (too heavy)</t>
  </si>
  <si>
    <t xml:space="preserve">YES </t>
  </si>
  <si>
    <t>Component selection and justifications</t>
  </si>
  <si>
    <t xml:space="preserve">Justification of choice </t>
  </si>
  <si>
    <t>3D Printed</t>
  </si>
  <si>
    <t>PROVIDED (Polytech)</t>
  </si>
  <si>
    <t>3. Summary of processing specifications and hardware allocation</t>
  </si>
  <si>
    <t>Needs analysis and I/O specifications</t>
  </si>
  <si>
    <t>1. Criteria of robot functions (from Specifications and functional analysis table)</t>
  </si>
  <si>
    <t>2. Input/Output needs of the robot (Dual-board architecture : ESP32-C6 + Raspberry Pi 5 8GB)</t>
  </si>
  <si>
    <t xml:space="preserve">Comment </t>
  </si>
  <si>
    <t>Role and details</t>
  </si>
  <si>
    <t xml:space="preserve">TOTAL </t>
  </si>
  <si>
    <t>Typical 88% efficiency (85-92% under 2-3A load at 11.1V)</t>
  </si>
  <si>
    <t>High performance combo mode accel + gyro at 208 Hz (0.55 mA datasheet)</t>
  </si>
  <si>
    <t>Pendulum balance on flat surface (PWM ~25-30% at 6V eq, ~160 mA avg from 11.1V per motor)</t>
  </si>
  <si>
    <t>Quad-core Arm Cortex-A76 at 2.4 GHz, 8GB LPDDR4X, 2x MIPI CSI/DSI 4-lane, Wi-Fi 802.11ac, USB 3.0</t>
  </si>
  <si>
    <t>32-bit RISC-V core at 160 MHz, Wi-Fi 6 2.4 GHz, BLE 5, 802.15.4, native ESP-NOW, hardware LEDC PWM, 12-bit ADC</t>
  </si>
  <si>
    <t>Sony IMX219 8 Megapixels, 1080p at 30 fps, 720p at 60 fps, adjustable focus lens, MIPI CSI-2 interface</t>
  </si>
  <si>
    <t>Excellent (4x A76 at 2.4 GHz + 8GB)</t>
  </si>
  <si>
    <t>Slamtec RPLIDAR C1 (12 m at 70% reflectivity)</t>
  </si>
  <si>
    <t>Fast I2C bus (SDA, SCL) at 400 kHz for 200 Hz loop</t>
  </si>
  <si>
    <t>Hardware UART at 921600 baud to Raspberry Pi 5 8GB</t>
  </si>
  <si>
    <t>Cartographer / Hector SLAM running across 4x Cortex-A76 at 2.4 GHz + 8GB RAM</t>
  </si>
  <si>
    <t>1080p at 30 fps</t>
  </si>
  <si>
    <t>TTL UART at 460800 baud (or USB bridge)</t>
  </si>
  <si>
    <t>Architectures considered and Compliance with CdCF elimination criteria</t>
  </si>
  <si>
    <t>3. Results and Autonomy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</si>
</sst>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\€"/>
    <numFmt numFmtId="165" formatCode="0.0"/>
    <numFmt numFmtId="166" formatCode="0.0%"/>
    <numFmt numFmtId="167" formatCode="0.00\ &quot;h&quot;"/>
    <numFmt numFmtId="168" formatCode="0.0&quot;%&quot;"/>
  </numFmts>
  <fonts count="10" x14ac:knownFonts="1"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107C41"/>
      <name val="Calibri"/>
      <family val="2"/>
    </font>
    <font>
      <b/>
      <sz val="11"/>
      <color rgb="FF184C78"/>
      <name val="Calibri"/>
      <family val="2"/>
    </font>
    <font>
      <b/>
      <sz val="11"/>
      <color rgb="FFB46400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EC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2" fillId="2" borderId="0" xfId="0" applyFont="1" applyFill="1"/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164" fontId="2" fillId="2" borderId="0" xfId="0" applyNumberFormat="1" applyFont="1" applyFill="1"/>
    <xf numFmtId="0" fontId="7" fillId="0" borderId="0" xfId="0" applyFont="1"/>
    <xf numFmtId="0" fontId="2" fillId="0" borderId="0" xfId="0" applyFont="1"/>
    <xf numFmtId="2" fontId="0" fillId="0" borderId="0" xfId="0" applyNumberFormat="1"/>
    <xf numFmtId="165" fontId="2" fillId="0" borderId="0" xfId="0" applyNumberFormat="1" applyFont="1"/>
    <xf numFmtId="0" fontId="8" fillId="0" borderId="0" xfId="0" applyFont="1"/>
    <xf numFmtId="0" fontId="3" fillId="3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4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K37" sqref="K37"/>
    </sheetView>
  </sheetViews>
  <sheetFormatPr baseColWidth="10" defaultColWidth="9.140625" defaultRowHeight="15" x14ac:dyDescent="0.25"/>
  <cols>
    <col min="1" max="1" width="109.7109375" customWidth="1"/>
    <col min="2" max="2" width="24.7109375" customWidth="1"/>
    <col min="3" max="3" width="18.85546875" customWidth="1"/>
    <col min="4" max="4" width="78.140625" customWidth="1"/>
    <col min="5" max="5" width="30.85546875" customWidth="1"/>
    <col min="6" max="6" width="70.7109375" customWidth="1"/>
    <col min="7" max="7" width="15.7109375" customWidth="1"/>
    <col min="8" max="8" width="11.28515625" customWidth="1"/>
    <col min="9" max="9" width="13" customWidth="1"/>
    <col min="10" max="10" width="9.5703125" customWidth="1"/>
    <col min="11" max="11" width="78" customWidth="1"/>
  </cols>
  <sheetData>
    <row r="1" spans="1:11" ht="18.75" x14ac:dyDescent="0.3">
      <c r="A1" s="25" t="s">
        <v>378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2"/>
    </row>
    <row r="4" spans="1:11" x14ac:dyDescent="0.25">
      <c r="A4" s="26" t="s">
        <v>379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x14ac:dyDescent="0.25">
      <c r="A5" s="16" t="s">
        <v>0</v>
      </c>
      <c r="B5" s="16" t="s">
        <v>1</v>
      </c>
      <c r="C5" s="16" t="s">
        <v>2</v>
      </c>
      <c r="D5" s="16" t="s">
        <v>3</v>
      </c>
      <c r="E5" s="16" t="s">
        <v>4</v>
      </c>
      <c r="F5" s="16" t="s">
        <v>5</v>
      </c>
      <c r="G5" s="16" t="s">
        <v>6</v>
      </c>
    </row>
    <row r="6" spans="1:11" x14ac:dyDescent="0.25">
      <c r="A6" t="s">
        <v>7</v>
      </c>
      <c r="B6" s="4">
        <v>5</v>
      </c>
      <c r="C6" s="4" t="s">
        <v>8</v>
      </c>
      <c r="D6" s="4" t="s">
        <v>9</v>
      </c>
      <c r="E6" t="s">
        <v>10</v>
      </c>
      <c r="F6" t="s">
        <v>11</v>
      </c>
      <c r="G6" s="3" t="s">
        <v>12</v>
      </c>
    </row>
    <row r="7" spans="1:11" x14ac:dyDescent="0.25">
      <c r="A7" t="s">
        <v>13</v>
      </c>
      <c r="B7" s="4">
        <v>10</v>
      </c>
      <c r="C7" s="4" t="s">
        <v>14</v>
      </c>
      <c r="D7" s="4" t="s">
        <v>15</v>
      </c>
      <c r="E7" t="s">
        <v>10</v>
      </c>
      <c r="F7" t="s">
        <v>391</v>
      </c>
      <c r="G7" s="3" t="s">
        <v>12</v>
      </c>
    </row>
    <row r="8" spans="1:11" x14ac:dyDescent="0.25">
      <c r="A8" t="s">
        <v>16</v>
      </c>
      <c r="B8" s="4">
        <v>2</v>
      </c>
      <c r="C8" s="4" t="s">
        <v>17</v>
      </c>
      <c r="D8" s="4" t="s">
        <v>18</v>
      </c>
      <c r="E8" t="s">
        <v>19</v>
      </c>
      <c r="F8" t="s">
        <v>20</v>
      </c>
      <c r="G8" s="3" t="s">
        <v>12</v>
      </c>
    </row>
    <row r="9" spans="1:11" x14ac:dyDescent="0.25">
      <c r="A9" t="s">
        <v>21</v>
      </c>
      <c r="B9" s="4">
        <v>4</v>
      </c>
      <c r="C9" s="4" t="s">
        <v>14</v>
      </c>
      <c r="D9" s="4" t="s">
        <v>22</v>
      </c>
      <c r="E9" t="s">
        <v>23</v>
      </c>
      <c r="F9" t="s">
        <v>24</v>
      </c>
      <c r="G9" s="3" t="s">
        <v>12</v>
      </c>
    </row>
    <row r="10" spans="1:11" x14ac:dyDescent="0.25">
      <c r="A10" t="s">
        <v>25</v>
      </c>
      <c r="B10" s="4" t="s">
        <v>26</v>
      </c>
      <c r="C10" s="4" t="s">
        <v>27</v>
      </c>
      <c r="D10" s="4" t="s">
        <v>15</v>
      </c>
      <c r="E10" t="s">
        <v>23</v>
      </c>
      <c r="F10" t="s">
        <v>28</v>
      </c>
      <c r="G10" s="3" t="s">
        <v>12</v>
      </c>
    </row>
    <row r="11" spans="1:11" x14ac:dyDescent="0.25">
      <c r="A11" t="s">
        <v>29</v>
      </c>
      <c r="B11" s="4" t="s">
        <v>30</v>
      </c>
      <c r="C11" s="4" t="s">
        <v>31</v>
      </c>
      <c r="D11" s="4" t="s">
        <v>32</v>
      </c>
      <c r="E11" t="s">
        <v>33</v>
      </c>
      <c r="F11" t="s">
        <v>34</v>
      </c>
      <c r="G11" s="3" t="s">
        <v>12</v>
      </c>
    </row>
    <row r="12" spans="1:11" x14ac:dyDescent="0.25">
      <c r="A12" t="s">
        <v>35</v>
      </c>
      <c r="B12" s="4" t="s">
        <v>36</v>
      </c>
      <c r="C12" s="4" t="s">
        <v>31</v>
      </c>
      <c r="D12" s="4" t="s">
        <v>31</v>
      </c>
      <c r="E12" t="s">
        <v>37</v>
      </c>
      <c r="F12" t="s">
        <v>38</v>
      </c>
      <c r="G12" s="3" t="s">
        <v>12</v>
      </c>
    </row>
    <row r="13" spans="1:11" x14ac:dyDescent="0.25">
      <c r="A13" t="s">
        <v>39</v>
      </c>
      <c r="B13" s="4" t="s">
        <v>36</v>
      </c>
      <c r="C13" s="4" t="s">
        <v>31</v>
      </c>
      <c r="D13" s="4" t="s">
        <v>31</v>
      </c>
      <c r="E13" t="s">
        <v>40</v>
      </c>
      <c r="F13" t="s">
        <v>41</v>
      </c>
      <c r="G13" s="3" t="s">
        <v>12</v>
      </c>
    </row>
    <row r="14" spans="1:11" x14ac:dyDescent="0.25">
      <c r="A14" t="s">
        <v>42</v>
      </c>
      <c r="B14" s="4">
        <v>200</v>
      </c>
      <c r="C14" s="4" t="s">
        <v>31</v>
      </c>
      <c r="D14" s="4" t="s">
        <v>18</v>
      </c>
      <c r="E14" t="s">
        <v>43</v>
      </c>
      <c r="F14" t="s">
        <v>44</v>
      </c>
      <c r="G14" s="3" t="s">
        <v>12</v>
      </c>
    </row>
    <row r="15" spans="1:11" x14ac:dyDescent="0.25">
      <c r="A15" t="s">
        <v>45</v>
      </c>
      <c r="B15" s="4" t="s">
        <v>46</v>
      </c>
      <c r="C15" s="4" t="s">
        <v>31</v>
      </c>
      <c r="D15" s="4" t="s">
        <v>47</v>
      </c>
      <c r="E15" t="s">
        <v>48</v>
      </c>
      <c r="F15" t="s">
        <v>49</v>
      </c>
      <c r="G15" s="3" t="s">
        <v>12</v>
      </c>
    </row>
    <row r="16" spans="1:11" x14ac:dyDescent="0.25">
      <c r="A16" t="s">
        <v>50</v>
      </c>
      <c r="B16" s="4" t="s">
        <v>30</v>
      </c>
      <c r="C16" s="4" t="s">
        <v>31</v>
      </c>
      <c r="D16" s="4" t="s">
        <v>15</v>
      </c>
      <c r="E16" t="s">
        <v>48</v>
      </c>
      <c r="F16" t="s">
        <v>51</v>
      </c>
      <c r="G16" s="3" t="s">
        <v>12</v>
      </c>
    </row>
    <row r="17" spans="1:11" x14ac:dyDescent="0.25">
      <c r="A17" t="s">
        <v>52</v>
      </c>
      <c r="B17" s="4" t="s">
        <v>53</v>
      </c>
      <c r="C17" s="4" t="s">
        <v>31</v>
      </c>
      <c r="D17" s="4" t="s">
        <v>15</v>
      </c>
      <c r="E17" t="s">
        <v>48</v>
      </c>
      <c r="F17" t="s">
        <v>54</v>
      </c>
      <c r="G17" s="3" t="s">
        <v>12</v>
      </c>
    </row>
    <row r="18" spans="1:11" x14ac:dyDescent="0.25">
      <c r="A18" t="s">
        <v>55</v>
      </c>
      <c r="B18" s="4" t="s">
        <v>30</v>
      </c>
      <c r="C18" s="4" t="s">
        <v>31</v>
      </c>
      <c r="D18" s="4" t="s">
        <v>56</v>
      </c>
      <c r="E18" t="s">
        <v>57</v>
      </c>
      <c r="F18" t="s">
        <v>58</v>
      </c>
      <c r="G18" s="3" t="s">
        <v>12</v>
      </c>
    </row>
    <row r="19" spans="1:11" x14ac:dyDescent="0.25">
      <c r="A19" t="s">
        <v>59</v>
      </c>
      <c r="B19" s="4" t="s">
        <v>60</v>
      </c>
      <c r="C19" s="4" t="s">
        <v>31</v>
      </c>
      <c r="D19" s="4" t="s">
        <v>61</v>
      </c>
      <c r="E19" t="s">
        <v>62</v>
      </c>
      <c r="F19" t="s">
        <v>63</v>
      </c>
      <c r="G19" s="3" t="s">
        <v>12</v>
      </c>
    </row>
    <row r="20" spans="1:11" x14ac:dyDescent="0.25">
      <c r="A20" t="s">
        <v>64</v>
      </c>
      <c r="B20" s="4" t="s">
        <v>65</v>
      </c>
      <c r="C20" s="4" t="s">
        <v>31</v>
      </c>
      <c r="D20" s="4" t="s">
        <v>47</v>
      </c>
      <c r="E20" t="s">
        <v>66</v>
      </c>
      <c r="F20" t="s">
        <v>67</v>
      </c>
      <c r="G20" s="3" t="s">
        <v>12</v>
      </c>
    </row>
    <row r="21" spans="1:11" x14ac:dyDescent="0.25">
      <c r="A21" t="s">
        <v>68</v>
      </c>
      <c r="B21" s="4" t="s">
        <v>69</v>
      </c>
      <c r="C21" s="4" t="s">
        <v>31</v>
      </c>
      <c r="D21" s="4" t="s">
        <v>70</v>
      </c>
      <c r="E21" t="s">
        <v>71</v>
      </c>
      <c r="F21" t="s">
        <v>72</v>
      </c>
      <c r="G21" s="3" t="s">
        <v>12</v>
      </c>
    </row>
    <row r="22" spans="1:11" x14ac:dyDescent="0.25">
      <c r="A22" t="s">
        <v>73</v>
      </c>
      <c r="B22" s="4" t="s">
        <v>74</v>
      </c>
      <c r="C22" s="4" t="s">
        <v>31</v>
      </c>
      <c r="D22" s="4" t="s">
        <v>31</v>
      </c>
      <c r="E22" t="s">
        <v>75</v>
      </c>
      <c r="F22" t="s">
        <v>76</v>
      </c>
      <c r="G22" s="3" t="s">
        <v>12</v>
      </c>
    </row>
    <row r="23" spans="1:11" x14ac:dyDescent="0.25">
      <c r="A23" t="s">
        <v>77</v>
      </c>
      <c r="B23" s="4" t="s">
        <v>78</v>
      </c>
      <c r="C23" s="4" t="s">
        <v>31</v>
      </c>
      <c r="D23" s="4" t="s">
        <v>79</v>
      </c>
      <c r="E23" t="s">
        <v>80</v>
      </c>
      <c r="F23" t="s">
        <v>81</v>
      </c>
      <c r="G23" s="3" t="s">
        <v>12</v>
      </c>
    </row>
    <row r="24" spans="1:11" x14ac:dyDescent="0.25">
      <c r="A24" t="s">
        <v>82</v>
      </c>
      <c r="B24" s="4" t="s">
        <v>83</v>
      </c>
      <c r="C24" s="4" t="s">
        <v>31</v>
      </c>
      <c r="D24" s="4" t="s">
        <v>84</v>
      </c>
      <c r="E24" t="s">
        <v>80</v>
      </c>
      <c r="F24" t="s">
        <v>85</v>
      </c>
      <c r="G24" s="3" t="s">
        <v>12</v>
      </c>
    </row>
    <row r="25" spans="1:11" x14ac:dyDescent="0.25">
      <c r="A25" t="s">
        <v>86</v>
      </c>
      <c r="B25" s="4" t="s">
        <v>87</v>
      </c>
      <c r="C25" s="4" t="s">
        <v>31</v>
      </c>
      <c r="D25" s="4" t="s">
        <v>79</v>
      </c>
      <c r="E25" t="s">
        <v>88</v>
      </c>
      <c r="F25" t="s">
        <v>89</v>
      </c>
      <c r="G25" s="3" t="s">
        <v>12</v>
      </c>
    </row>
    <row r="28" spans="1:11" x14ac:dyDescent="0.25">
      <c r="A28" s="26" t="s">
        <v>380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x14ac:dyDescent="0.25">
      <c r="A29" s="16" t="s">
        <v>90</v>
      </c>
      <c r="B29" s="16" t="s">
        <v>91</v>
      </c>
      <c r="C29" s="16" t="s">
        <v>92</v>
      </c>
      <c r="D29" s="16" t="s">
        <v>93</v>
      </c>
      <c r="E29" s="16" t="s">
        <v>94</v>
      </c>
      <c r="F29" s="16" t="s">
        <v>95</v>
      </c>
      <c r="G29" s="16" t="s">
        <v>96</v>
      </c>
      <c r="H29" s="16" t="s">
        <v>97</v>
      </c>
      <c r="I29" s="16" t="s">
        <v>98</v>
      </c>
      <c r="J29" s="16" t="s">
        <v>99</v>
      </c>
      <c r="K29" s="16" t="s">
        <v>382</v>
      </c>
    </row>
    <row r="30" spans="1:11" x14ac:dyDescent="0.25">
      <c r="A30" t="s">
        <v>100</v>
      </c>
      <c r="B30" t="s">
        <v>101</v>
      </c>
      <c r="C30" s="4">
        <v>2</v>
      </c>
      <c r="D30" s="4">
        <v>0</v>
      </c>
      <c r="E30" s="4">
        <v>0</v>
      </c>
      <c r="F30" s="4">
        <v>2</v>
      </c>
      <c r="G30" s="4">
        <v>0</v>
      </c>
      <c r="H30" s="4">
        <v>0</v>
      </c>
      <c r="I30" s="4">
        <v>0</v>
      </c>
      <c r="J30" s="4">
        <v>2</v>
      </c>
      <c r="K30" t="s">
        <v>102</v>
      </c>
    </row>
    <row r="31" spans="1:11" x14ac:dyDescent="0.25">
      <c r="A31" t="s">
        <v>103</v>
      </c>
      <c r="B31" t="s">
        <v>101</v>
      </c>
      <c r="C31" s="4">
        <v>2</v>
      </c>
      <c r="D31" s="4">
        <v>0</v>
      </c>
      <c r="E31" s="4">
        <v>0</v>
      </c>
      <c r="F31" s="4">
        <v>2</v>
      </c>
      <c r="G31" s="4">
        <v>0</v>
      </c>
      <c r="H31" s="4">
        <v>0</v>
      </c>
      <c r="I31" s="4">
        <v>0</v>
      </c>
      <c r="J31" s="4">
        <v>2</v>
      </c>
      <c r="K31" t="s">
        <v>104</v>
      </c>
    </row>
    <row r="32" spans="1:11" x14ac:dyDescent="0.25">
      <c r="A32" t="s">
        <v>105</v>
      </c>
      <c r="B32" t="s">
        <v>101</v>
      </c>
      <c r="C32" s="4">
        <v>2</v>
      </c>
      <c r="D32" s="4">
        <v>0</v>
      </c>
      <c r="E32" s="4">
        <v>4</v>
      </c>
      <c r="F32" s="4">
        <v>0</v>
      </c>
      <c r="G32" s="4">
        <v>0</v>
      </c>
      <c r="H32" s="4">
        <v>0</v>
      </c>
      <c r="I32" s="4">
        <v>0</v>
      </c>
      <c r="J32" s="4">
        <v>4</v>
      </c>
      <c r="K32" t="s">
        <v>106</v>
      </c>
    </row>
    <row r="33" spans="1:11" x14ac:dyDescent="0.25">
      <c r="A33" t="s">
        <v>107</v>
      </c>
      <c r="B33" t="s">
        <v>101</v>
      </c>
      <c r="C33" s="4">
        <v>1</v>
      </c>
      <c r="D33" s="4">
        <v>0</v>
      </c>
      <c r="E33" s="4">
        <v>0</v>
      </c>
      <c r="F33" s="4">
        <v>0</v>
      </c>
      <c r="G33" s="4">
        <v>2</v>
      </c>
      <c r="H33" s="4">
        <v>0</v>
      </c>
      <c r="I33" s="4">
        <v>0</v>
      </c>
      <c r="J33" s="4">
        <v>2</v>
      </c>
      <c r="K33" t="s">
        <v>392</v>
      </c>
    </row>
    <row r="34" spans="1:11" x14ac:dyDescent="0.25">
      <c r="A34" t="s">
        <v>108</v>
      </c>
      <c r="B34" t="s">
        <v>101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2</v>
      </c>
      <c r="I34" s="4">
        <v>0</v>
      </c>
      <c r="J34" s="4">
        <v>2</v>
      </c>
      <c r="K34" t="s">
        <v>393</v>
      </c>
    </row>
    <row r="35" spans="1:11" x14ac:dyDescent="0.25">
      <c r="A35" t="s">
        <v>109</v>
      </c>
      <c r="B35" t="s">
        <v>101</v>
      </c>
      <c r="C35" s="4">
        <v>1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</v>
      </c>
      <c r="K35" t="s">
        <v>110</v>
      </c>
    </row>
    <row r="36" spans="1:11" x14ac:dyDescent="0.25">
      <c r="A36" t="s">
        <v>111</v>
      </c>
      <c r="B36" t="s">
        <v>101</v>
      </c>
      <c r="C36" s="4">
        <v>1</v>
      </c>
      <c r="D36" s="4">
        <v>0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4">
        <v>1</v>
      </c>
      <c r="K36" t="s">
        <v>112</v>
      </c>
    </row>
    <row r="37" spans="1:11" x14ac:dyDescent="0.25">
      <c r="A37" t="s">
        <v>113</v>
      </c>
      <c r="B37" t="s">
        <v>114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4">
        <v>2</v>
      </c>
      <c r="K37" t="s">
        <v>396</v>
      </c>
    </row>
    <row r="38" spans="1:11" x14ac:dyDescent="0.25">
      <c r="A38" t="s">
        <v>115</v>
      </c>
      <c r="B38" t="s">
        <v>114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J38" s="4">
        <v>1</v>
      </c>
      <c r="K38" t="s">
        <v>116</v>
      </c>
    </row>
    <row r="39" spans="1:11" x14ac:dyDescent="0.25">
      <c r="A39" t="s">
        <v>108</v>
      </c>
      <c r="B39" t="s">
        <v>114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  <c r="H39" s="4">
        <v>2</v>
      </c>
      <c r="I39" s="4">
        <v>0</v>
      </c>
      <c r="J39" s="4">
        <v>2</v>
      </c>
      <c r="K39" t="s">
        <v>117</v>
      </c>
    </row>
    <row r="42" spans="1:11" x14ac:dyDescent="0.25">
      <c r="A42" s="26" t="s">
        <v>377</v>
      </c>
      <c r="B42" s="26"/>
      <c r="C42" s="26"/>
      <c r="D42" s="26"/>
    </row>
    <row r="43" spans="1:11" x14ac:dyDescent="0.25">
      <c r="A43" s="16" t="s">
        <v>118</v>
      </c>
      <c r="B43" s="16" t="s">
        <v>119</v>
      </c>
      <c r="C43" s="16" t="s">
        <v>120</v>
      </c>
      <c r="D43" s="16" t="s">
        <v>381</v>
      </c>
    </row>
    <row r="44" spans="1:11" x14ac:dyDescent="0.25">
      <c r="A44" t="s">
        <v>121</v>
      </c>
      <c r="B44" t="s">
        <v>122</v>
      </c>
      <c r="C44" t="s">
        <v>123</v>
      </c>
      <c r="D44" t="s">
        <v>124</v>
      </c>
    </row>
    <row r="45" spans="1:11" x14ac:dyDescent="0.25">
      <c r="A45" t="s">
        <v>125</v>
      </c>
      <c r="B45" t="s">
        <v>126</v>
      </c>
      <c r="C45" t="s">
        <v>101</v>
      </c>
      <c r="D45" t="s">
        <v>127</v>
      </c>
    </row>
    <row r="46" spans="1:11" x14ac:dyDescent="0.25">
      <c r="A46" t="s">
        <v>128</v>
      </c>
      <c r="B46" t="s">
        <v>129</v>
      </c>
      <c r="C46" t="s">
        <v>101</v>
      </c>
      <c r="D46" t="s">
        <v>130</v>
      </c>
    </row>
    <row r="47" spans="1:11" x14ac:dyDescent="0.25">
      <c r="A47" t="s">
        <v>131</v>
      </c>
      <c r="B47" t="s">
        <v>132</v>
      </c>
      <c r="C47" t="s">
        <v>114</v>
      </c>
      <c r="D47" t="s">
        <v>133</v>
      </c>
    </row>
    <row r="48" spans="1:11" x14ac:dyDescent="0.25">
      <c r="A48" t="s">
        <v>134</v>
      </c>
      <c r="B48" t="s">
        <v>135</v>
      </c>
      <c r="C48" t="s">
        <v>114</v>
      </c>
      <c r="D48" t="s">
        <v>394</v>
      </c>
    </row>
    <row r="49" spans="1:4" x14ac:dyDescent="0.25">
      <c r="A49" t="s">
        <v>136</v>
      </c>
      <c r="B49" t="s">
        <v>395</v>
      </c>
      <c r="C49" t="s">
        <v>114</v>
      </c>
      <c r="D49" t="s">
        <v>137</v>
      </c>
    </row>
    <row r="50" spans="1:4" x14ac:dyDescent="0.25">
      <c r="A50" t="s">
        <v>138</v>
      </c>
      <c r="B50" t="s">
        <v>139</v>
      </c>
      <c r="C50" t="s">
        <v>114</v>
      </c>
      <c r="D50" t="s">
        <v>140</v>
      </c>
    </row>
    <row r="51" spans="1:4" x14ac:dyDescent="0.25">
      <c r="A51" t="s">
        <v>141</v>
      </c>
      <c r="B51" t="s">
        <v>142</v>
      </c>
      <c r="C51" t="s">
        <v>143</v>
      </c>
      <c r="D51" t="s">
        <v>144</v>
      </c>
    </row>
  </sheetData>
  <mergeCells count="4">
    <mergeCell ref="A1:K1"/>
    <mergeCell ref="A4:K4"/>
    <mergeCell ref="A28:K28"/>
    <mergeCell ref="A42:D4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activeCell="B19" sqref="B19"/>
    </sheetView>
  </sheetViews>
  <sheetFormatPr baseColWidth="10" defaultColWidth="9.140625" defaultRowHeight="15" x14ac:dyDescent="0.25"/>
  <cols>
    <col min="1" max="1" width="15.7109375" customWidth="1"/>
    <col min="2" max="2" width="41" customWidth="1"/>
    <col min="3" max="3" width="44.5703125" customWidth="1"/>
    <col min="4" max="4" width="46.5703125" customWidth="1"/>
    <col min="5" max="5" width="240.5703125" customWidth="1"/>
    <col min="6" max="6" width="255" customWidth="1"/>
    <col min="7" max="7" width="39.140625" customWidth="1"/>
    <col min="8" max="8" width="74" customWidth="1"/>
    <col min="9" max="9" width="4.140625" customWidth="1"/>
    <col min="10" max="10" width="12" customWidth="1"/>
    <col min="11" max="11" width="13" customWidth="1"/>
    <col min="12" max="12" width="22.85546875" customWidth="1"/>
  </cols>
  <sheetData>
    <row r="1" spans="1:12" ht="18.75" x14ac:dyDescent="0.3">
      <c r="A1" s="25" t="s">
        <v>373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"/>
    </row>
    <row r="4" spans="1:12" x14ac:dyDescent="0.25">
      <c r="A4" s="16" t="s">
        <v>145</v>
      </c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374</v>
      </c>
      <c r="G4" s="16" t="s">
        <v>150</v>
      </c>
      <c r="H4" s="16" t="s">
        <v>151</v>
      </c>
      <c r="I4" s="16" t="s">
        <v>152</v>
      </c>
      <c r="J4" s="16" t="s">
        <v>153</v>
      </c>
      <c r="K4" s="16" t="s">
        <v>154</v>
      </c>
      <c r="L4" s="16" t="s">
        <v>155</v>
      </c>
    </row>
    <row r="5" spans="1:12" ht="45" x14ac:dyDescent="0.25">
      <c r="A5" s="4">
        <v>1</v>
      </c>
      <c r="B5" t="s">
        <v>156</v>
      </c>
      <c r="C5" t="s">
        <v>157</v>
      </c>
      <c r="D5" t="s">
        <v>158</v>
      </c>
      <c r="E5" t="s">
        <v>387</v>
      </c>
      <c r="F5" t="s">
        <v>159</v>
      </c>
      <c r="G5" s="24" t="s">
        <v>160</v>
      </c>
      <c r="H5" s="24" t="s">
        <v>161</v>
      </c>
      <c r="I5" s="4">
        <v>1</v>
      </c>
      <c r="J5" s="5">
        <v>216</v>
      </c>
      <c r="K5" s="5">
        <v>0</v>
      </c>
      <c r="L5" s="6" t="s">
        <v>376</v>
      </c>
    </row>
    <row r="6" spans="1:12" ht="30" x14ac:dyDescent="0.25">
      <c r="A6" s="4">
        <v>2</v>
      </c>
      <c r="B6" t="s">
        <v>162</v>
      </c>
      <c r="C6" t="s">
        <v>163</v>
      </c>
      <c r="D6" t="s">
        <v>164</v>
      </c>
      <c r="E6" t="s">
        <v>388</v>
      </c>
      <c r="F6" t="s">
        <v>165</v>
      </c>
      <c r="G6" s="24" t="s">
        <v>166</v>
      </c>
      <c r="H6" s="24" t="s">
        <v>167</v>
      </c>
      <c r="I6" s="4">
        <v>1</v>
      </c>
      <c r="J6" s="5">
        <v>11.9</v>
      </c>
      <c r="K6" s="5">
        <v>0</v>
      </c>
      <c r="L6" s="6" t="s">
        <v>376</v>
      </c>
    </row>
    <row r="7" spans="1:12" ht="30" x14ac:dyDescent="0.25">
      <c r="A7" s="4">
        <v>3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s="24" t="s">
        <v>173</v>
      </c>
      <c r="H7" s="24" t="s">
        <v>174</v>
      </c>
      <c r="I7" s="4">
        <v>1</v>
      </c>
      <c r="J7" s="5">
        <v>83.9</v>
      </c>
      <c r="K7" s="5">
        <v>83.9</v>
      </c>
      <c r="L7" s="7" t="s">
        <v>175</v>
      </c>
    </row>
    <row r="8" spans="1:12" ht="30" x14ac:dyDescent="0.25">
      <c r="A8" s="4">
        <v>4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s="24" t="s">
        <v>181</v>
      </c>
      <c r="H8" s="24" t="s">
        <v>182</v>
      </c>
      <c r="I8" s="4">
        <v>1</v>
      </c>
      <c r="J8" s="5">
        <v>14.5</v>
      </c>
      <c r="K8" s="5">
        <v>14.5</v>
      </c>
      <c r="L8" s="7" t="s">
        <v>175</v>
      </c>
    </row>
    <row r="9" spans="1:12" ht="45" x14ac:dyDescent="0.25">
      <c r="A9" s="4">
        <v>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s="24" t="s">
        <v>188</v>
      </c>
      <c r="H9" s="24" t="s">
        <v>189</v>
      </c>
      <c r="I9" s="4">
        <v>2</v>
      </c>
      <c r="J9" s="5">
        <v>21.5</v>
      </c>
      <c r="K9" s="5">
        <v>43</v>
      </c>
      <c r="L9" s="7" t="s">
        <v>175</v>
      </c>
    </row>
    <row r="10" spans="1:12" ht="30" x14ac:dyDescent="0.25">
      <c r="A10" s="4">
        <v>6</v>
      </c>
      <c r="B10" t="s">
        <v>190</v>
      </c>
      <c r="C10" t="s">
        <v>191</v>
      </c>
      <c r="D10" t="s">
        <v>192</v>
      </c>
      <c r="E10" t="s">
        <v>193</v>
      </c>
      <c r="F10" t="s">
        <v>194</v>
      </c>
      <c r="G10" s="24" t="s">
        <v>195</v>
      </c>
      <c r="H10" s="24" t="s">
        <v>196</v>
      </c>
      <c r="I10" s="4">
        <v>1</v>
      </c>
      <c r="J10" s="5">
        <v>29.2</v>
      </c>
      <c r="K10" s="5">
        <v>29.2</v>
      </c>
      <c r="L10" s="7" t="s">
        <v>175</v>
      </c>
    </row>
    <row r="11" spans="1:12" ht="30" x14ac:dyDescent="0.25">
      <c r="A11" s="4">
        <v>7</v>
      </c>
      <c r="B11" t="s">
        <v>197</v>
      </c>
      <c r="C11" t="s">
        <v>198</v>
      </c>
      <c r="D11" t="s">
        <v>199</v>
      </c>
      <c r="E11" t="s">
        <v>389</v>
      </c>
      <c r="F11" t="s">
        <v>200</v>
      </c>
      <c r="G11" s="24" t="s">
        <v>201</v>
      </c>
      <c r="H11" t="s">
        <v>202</v>
      </c>
      <c r="I11" s="4">
        <v>1</v>
      </c>
      <c r="J11" s="5">
        <v>29.9</v>
      </c>
      <c r="K11" s="5">
        <v>0</v>
      </c>
      <c r="L11" s="6" t="s">
        <v>376</v>
      </c>
    </row>
    <row r="12" spans="1:12" ht="30" x14ac:dyDescent="0.25">
      <c r="A12" s="4">
        <v>8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s="24" t="s">
        <v>208</v>
      </c>
      <c r="H12" t="s">
        <v>209</v>
      </c>
      <c r="I12" s="4">
        <v>1</v>
      </c>
      <c r="J12" s="5">
        <v>1.6</v>
      </c>
      <c r="K12" s="5">
        <v>1.6</v>
      </c>
      <c r="L12" s="7" t="s">
        <v>175</v>
      </c>
    </row>
    <row r="13" spans="1:12" ht="45" x14ac:dyDescent="0.25">
      <c r="A13" s="4">
        <v>9</v>
      </c>
      <c r="B13" t="s">
        <v>210</v>
      </c>
      <c r="C13" t="s">
        <v>211</v>
      </c>
      <c r="D13" t="s">
        <v>212</v>
      </c>
      <c r="E13" t="s">
        <v>213</v>
      </c>
      <c r="F13" t="s">
        <v>214</v>
      </c>
      <c r="G13" s="24" t="s">
        <v>215</v>
      </c>
      <c r="H13" s="24" t="s">
        <v>216</v>
      </c>
      <c r="I13" s="4">
        <v>2</v>
      </c>
      <c r="J13" s="5">
        <v>0</v>
      </c>
      <c r="K13" s="5">
        <v>0</v>
      </c>
      <c r="L13" s="8" t="s">
        <v>375</v>
      </c>
    </row>
    <row r="14" spans="1:12" ht="30" x14ac:dyDescent="0.25">
      <c r="A14" s="4">
        <v>10</v>
      </c>
      <c r="B14" t="s">
        <v>217</v>
      </c>
      <c r="C14" t="s">
        <v>218</v>
      </c>
      <c r="D14" t="s">
        <v>219</v>
      </c>
      <c r="E14" t="s">
        <v>220</v>
      </c>
      <c r="F14" t="s">
        <v>221</v>
      </c>
      <c r="G14" s="24" t="s">
        <v>222</v>
      </c>
      <c r="H14" s="24" t="s">
        <v>223</v>
      </c>
      <c r="I14" s="4">
        <v>1</v>
      </c>
      <c r="J14" s="5">
        <v>9.6999999999999993</v>
      </c>
      <c r="K14" s="5">
        <v>9.6999999999999993</v>
      </c>
      <c r="L14" s="7" t="s">
        <v>175</v>
      </c>
    </row>
    <row r="15" spans="1:12" ht="45" x14ac:dyDescent="0.25">
      <c r="A15" s="4">
        <v>11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s="24" t="s">
        <v>229</v>
      </c>
      <c r="H15" s="24" t="s">
        <v>230</v>
      </c>
      <c r="I15" s="4">
        <v>1</v>
      </c>
      <c r="J15" s="5">
        <v>29.9</v>
      </c>
      <c r="K15" s="5">
        <v>0</v>
      </c>
      <c r="L15" s="6" t="s">
        <v>376</v>
      </c>
    </row>
    <row r="16" spans="1:12" x14ac:dyDescent="0.25">
      <c r="A16" s="9"/>
      <c r="B16" s="1" t="s">
        <v>383</v>
      </c>
      <c r="C16" s="9"/>
      <c r="D16" s="9"/>
      <c r="E16" s="9"/>
      <c r="F16" s="9"/>
      <c r="G16" s="9"/>
      <c r="H16" s="9"/>
      <c r="I16" s="1">
        <f>SUM(I5:I15)</f>
        <v>13</v>
      </c>
      <c r="J16" s="9"/>
      <c r="K16" s="10">
        <f>SUM(K5:K15)</f>
        <v>181.89999999999998</v>
      </c>
      <c r="L16" s="9"/>
    </row>
  </sheetData>
  <mergeCells count="1">
    <mergeCell ref="A1:L1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C32" sqref="C32"/>
    </sheetView>
  </sheetViews>
  <sheetFormatPr baseColWidth="10" defaultColWidth="9.140625" defaultRowHeight="15" x14ac:dyDescent="0.25"/>
  <cols>
    <col min="1" max="1" width="83.85546875" customWidth="1"/>
    <col min="2" max="2" width="13.28515625" customWidth="1"/>
    <col min="3" max="3" width="31.28515625" customWidth="1"/>
    <col min="4" max="4" width="35.28515625" customWidth="1"/>
    <col min="5" max="5" width="28" customWidth="1"/>
    <col min="6" max="6" width="35.42578125" customWidth="1"/>
    <col min="7" max="7" width="9.140625" customWidth="1"/>
  </cols>
  <sheetData>
    <row r="1" spans="1:7" ht="18.75" x14ac:dyDescent="0.3">
      <c r="A1" s="25" t="s">
        <v>366</v>
      </c>
      <c r="B1" s="25"/>
      <c r="C1" s="25"/>
      <c r="D1" s="25"/>
      <c r="E1" s="25"/>
      <c r="F1" s="25"/>
      <c r="G1" s="25"/>
    </row>
    <row r="2" spans="1:7" x14ac:dyDescent="0.25">
      <c r="A2" s="2"/>
    </row>
    <row r="4" spans="1:7" x14ac:dyDescent="0.25">
      <c r="A4" s="26" t="s">
        <v>397</v>
      </c>
      <c r="B4" s="26"/>
      <c r="C4" s="26"/>
      <c r="D4" s="26"/>
      <c r="E4" s="26"/>
      <c r="F4" s="26"/>
      <c r="G4" s="26"/>
    </row>
    <row r="5" spans="1:7" x14ac:dyDescent="0.25">
      <c r="A5" s="16" t="s">
        <v>231</v>
      </c>
      <c r="B5" s="16" t="s">
        <v>3</v>
      </c>
      <c r="C5" s="23" t="s">
        <v>367</v>
      </c>
      <c r="D5" s="16" t="s">
        <v>368</v>
      </c>
      <c r="E5" s="16" t="s">
        <v>369</v>
      </c>
      <c r="F5" s="16" t="s">
        <v>370</v>
      </c>
    </row>
    <row r="6" spans="1:7" x14ac:dyDescent="0.25">
      <c r="A6" t="s">
        <v>232</v>
      </c>
      <c r="B6" t="s">
        <v>18</v>
      </c>
      <c r="C6" t="s">
        <v>233</v>
      </c>
      <c r="D6" t="s">
        <v>234</v>
      </c>
      <c r="E6" t="s">
        <v>235</v>
      </c>
      <c r="F6" t="s">
        <v>236</v>
      </c>
    </row>
    <row r="7" spans="1:7" x14ac:dyDescent="0.25">
      <c r="A7" t="s">
        <v>237</v>
      </c>
      <c r="B7" t="s">
        <v>238</v>
      </c>
      <c r="C7" t="s">
        <v>390</v>
      </c>
      <c r="D7" t="s">
        <v>239</v>
      </c>
      <c r="E7" t="s">
        <v>240</v>
      </c>
      <c r="F7" t="s">
        <v>241</v>
      </c>
    </row>
    <row r="8" spans="1:7" x14ac:dyDescent="0.25">
      <c r="A8" t="s">
        <v>242</v>
      </c>
      <c r="B8" t="s">
        <v>243</v>
      </c>
      <c r="C8" t="s">
        <v>244</v>
      </c>
      <c r="D8" t="s">
        <v>245</v>
      </c>
      <c r="E8" t="s">
        <v>246</v>
      </c>
      <c r="F8" t="s">
        <v>247</v>
      </c>
    </row>
    <row r="9" spans="1:7" x14ac:dyDescent="0.25">
      <c r="A9" t="s">
        <v>248</v>
      </c>
      <c r="B9" t="s">
        <v>47</v>
      </c>
      <c r="C9" t="s">
        <v>249</v>
      </c>
      <c r="D9" t="s">
        <v>250</v>
      </c>
      <c r="E9" t="s">
        <v>251</v>
      </c>
      <c r="F9" t="s">
        <v>252</v>
      </c>
    </row>
    <row r="10" spans="1:7" x14ac:dyDescent="0.25">
      <c r="A10" t="s">
        <v>253</v>
      </c>
      <c r="B10" t="s">
        <v>61</v>
      </c>
      <c r="C10" t="s">
        <v>254</v>
      </c>
      <c r="D10" t="s">
        <v>255</v>
      </c>
      <c r="E10" t="s">
        <v>256</v>
      </c>
      <c r="F10" t="s">
        <v>257</v>
      </c>
    </row>
    <row r="11" spans="1:7" x14ac:dyDescent="0.25">
      <c r="A11" t="s">
        <v>258</v>
      </c>
      <c r="B11" t="s">
        <v>243</v>
      </c>
      <c r="C11" s="6" t="s">
        <v>12</v>
      </c>
      <c r="D11" s="11" t="s">
        <v>259</v>
      </c>
      <c r="E11" s="6" t="s">
        <v>12</v>
      </c>
      <c r="F11" s="11" t="s">
        <v>260</v>
      </c>
    </row>
    <row r="12" spans="1:7" x14ac:dyDescent="0.25">
      <c r="A12" t="s">
        <v>261</v>
      </c>
      <c r="B12" t="s">
        <v>243</v>
      </c>
      <c r="C12" s="6" t="s">
        <v>12</v>
      </c>
      <c r="D12" s="6" t="s">
        <v>12</v>
      </c>
      <c r="E12" s="11" t="s">
        <v>260</v>
      </c>
      <c r="F12" s="12" t="s">
        <v>262</v>
      </c>
    </row>
    <row r="13" spans="1:7" x14ac:dyDescent="0.25">
      <c r="A13" t="s">
        <v>263</v>
      </c>
      <c r="B13" t="s">
        <v>243</v>
      </c>
      <c r="C13" s="6" t="s">
        <v>372</v>
      </c>
      <c r="D13" s="6" t="s">
        <v>372</v>
      </c>
      <c r="E13" s="6" t="s">
        <v>372</v>
      </c>
      <c r="F13" s="11" t="s">
        <v>371</v>
      </c>
    </row>
    <row r="14" spans="1:7" x14ac:dyDescent="0.25">
      <c r="A14" t="s">
        <v>264</v>
      </c>
      <c r="B14" t="s">
        <v>243</v>
      </c>
      <c r="C14" s="6" t="s">
        <v>12</v>
      </c>
      <c r="D14" s="11" t="s">
        <v>265</v>
      </c>
      <c r="E14" s="11" t="s">
        <v>266</v>
      </c>
      <c r="F14" s="11" t="s">
        <v>267</v>
      </c>
    </row>
    <row r="17" spans="1:6" x14ac:dyDescent="0.25">
      <c r="B17" s="13"/>
      <c r="C17" s="4"/>
      <c r="D17" s="4"/>
      <c r="E17" s="4"/>
      <c r="F17" s="4"/>
    </row>
    <row r="18" spans="1:6" x14ac:dyDescent="0.25">
      <c r="B18" s="13"/>
      <c r="C18" s="4"/>
      <c r="D18" s="4"/>
      <c r="E18" s="4"/>
      <c r="F18" s="4"/>
    </row>
    <row r="19" spans="1:6" x14ac:dyDescent="0.25">
      <c r="B19" s="13"/>
      <c r="C19" s="4"/>
      <c r="D19" s="4"/>
      <c r="E19" s="4"/>
      <c r="F19" s="4"/>
    </row>
    <row r="20" spans="1:6" x14ac:dyDescent="0.25">
      <c r="B20" s="13"/>
      <c r="C20" s="4"/>
      <c r="D20" s="4"/>
      <c r="E20" s="4"/>
      <c r="F20" s="4"/>
    </row>
    <row r="21" spans="1:6" x14ac:dyDescent="0.25">
      <c r="B21" s="13"/>
      <c r="C21" s="4"/>
      <c r="D21" s="4"/>
      <c r="E21" s="4"/>
      <c r="F21" s="4"/>
    </row>
    <row r="22" spans="1:6" x14ac:dyDescent="0.25">
      <c r="B22" s="13"/>
      <c r="C22" s="4"/>
      <c r="D22" s="4"/>
      <c r="E22" s="4"/>
      <c r="F22" s="4"/>
    </row>
    <row r="23" spans="1:6" x14ac:dyDescent="0.25">
      <c r="B23" s="13"/>
      <c r="C23" s="4"/>
      <c r="D23" s="4"/>
      <c r="E23" s="4"/>
      <c r="F23" s="4"/>
    </row>
    <row r="24" spans="1:6" x14ac:dyDescent="0.25">
      <c r="A24" s="12"/>
      <c r="B24" s="12"/>
    </row>
    <row r="25" spans="1:6" x14ac:dyDescent="0.25">
      <c r="A25" s="12"/>
      <c r="C25" s="14"/>
      <c r="D25" s="14"/>
      <c r="E25" s="14"/>
      <c r="F25" s="14"/>
    </row>
    <row r="26" spans="1:6" x14ac:dyDescent="0.25">
      <c r="A26" s="12"/>
      <c r="C26" s="14"/>
      <c r="D26" s="14"/>
      <c r="E26" s="14"/>
      <c r="F26" s="14"/>
    </row>
    <row r="27" spans="1:6" x14ac:dyDescent="0.25">
      <c r="A27" s="12"/>
    </row>
    <row r="28" spans="1:6" x14ac:dyDescent="0.25">
      <c r="A28" s="12"/>
      <c r="C28" s="6"/>
      <c r="D28" s="15"/>
      <c r="E28" s="15"/>
      <c r="F28" s="15"/>
    </row>
  </sheetData>
  <mergeCells count="2">
    <mergeCell ref="A1:G1"/>
    <mergeCell ref="A4:G4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A32" sqref="A32:E32"/>
    </sheetView>
  </sheetViews>
  <sheetFormatPr baseColWidth="10" defaultColWidth="9.140625" defaultRowHeight="15" x14ac:dyDescent="0.25"/>
  <cols>
    <col min="1" max="1" width="78" customWidth="1"/>
    <col min="2" max="2" width="16.5703125" customWidth="1"/>
    <col min="3" max="3" width="21.5703125" style="4" customWidth="1"/>
    <col min="4" max="4" width="77.5703125" customWidth="1"/>
    <col min="5" max="5" width="17" customWidth="1"/>
    <col min="6" max="6" width="11.85546875" customWidth="1"/>
    <col min="7" max="7" width="85.7109375" customWidth="1"/>
  </cols>
  <sheetData>
    <row r="1" spans="1:7" ht="18.75" x14ac:dyDescent="0.3">
      <c r="A1" s="25" t="s">
        <v>365</v>
      </c>
      <c r="B1" s="25"/>
      <c r="C1" s="25"/>
      <c r="D1" s="25"/>
      <c r="E1" s="25"/>
      <c r="F1" s="25"/>
      <c r="G1" s="25"/>
    </row>
    <row r="2" spans="1:7" x14ac:dyDescent="0.25">
      <c r="A2" s="2"/>
    </row>
    <row r="4" spans="1:7" x14ac:dyDescent="0.25">
      <c r="A4" s="26" t="s">
        <v>268</v>
      </c>
      <c r="B4" s="26"/>
      <c r="C4" s="26"/>
      <c r="D4" s="26"/>
      <c r="E4" s="26"/>
      <c r="F4" s="26"/>
      <c r="G4" s="26"/>
    </row>
    <row r="5" spans="1:7" x14ac:dyDescent="0.25">
      <c r="A5" s="16" t="s">
        <v>269</v>
      </c>
      <c r="B5" s="16" t="s">
        <v>270</v>
      </c>
      <c r="C5" s="16" t="s">
        <v>3</v>
      </c>
      <c r="D5" s="16" t="s">
        <v>271</v>
      </c>
    </row>
    <row r="6" spans="1:7" x14ac:dyDescent="0.25">
      <c r="A6" t="s">
        <v>272</v>
      </c>
      <c r="B6" s="18">
        <v>11.1</v>
      </c>
      <c r="C6" s="4" t="s">
        <v>84</v>
      </c>
      <c r="D6" t="s">
        <v>273</v>
      </c>
    </row>
    <row r="7" spans="1:7" x14ac:dyDescent="0.25">
      <c r="A7" t="s">
        <v>274</v>
      </c>
      <c r="B7" s="18">
        <v>12.6</v>
      </c>
      <c r="C7" s="4" t="s">
        <v>84</v>
      </c>
      <c r="D7" t="s">
        <v>275</v>
      </c>
    </row>
    <row r="8" spans="1:7" x14ac:dyDescent="0.25">
      <c r="A8" t="s">
        <v>276</v>
      </c>
      <c r="B8" s="18">
        <v>9.9</v>
      </c>
      <c r="C8" s="4" t="s">
        <v>84</v>
      </c>
      <c r="D8" t="s">
        <v>277</v>
      </c>
    </row>
    <row r="9" spans="1:7" x14ac:dyDescent="0.25">
      <c r="A9" t="s">
        <v>278</v>
      </c>
      <c r="B9" s="4">
        <v>2700</v>
      </c>
      <c r="C9" s="4" t="s">
        <v>279</v>
      </c>
      <c r="D9" t="s">
        <v>280</v>
      </c>
    </row>
    <row r="10" spans="1:7" x14ac:dyDescent="0.25">
      <c r="A10" t="s">
        <v>281</v>
      </c>
      <c r="B10" s="18">
        <v>29.97</v>
      </c>
      <c r="C10" s="4" t="s">
        <v>282</v>
      </c>
      <c r="D10" t="s">
        <v>283</v>
      </c>
    </row>
    <row r="11" spans="1:7" x14ac:dyDescent="0.25">
      <c r="A11" t="s">
        <v>284</v>
      </c>
      <c r="B11" s="4">
        <v>30</v>
      </c>
      <c r="C11" s="4" t="s">
        <v>285</v>
      </c>
      <c r="D11" t="s">
        <v>286</v>
      </c>
    </row>
    <row r="12" spans="1:7" x14ac:dyDescent="0.25">
      <c r="A12" t="s">
        <v>287</v>
      </c>
      <c r="B12" s="21">
        <v>0.8</v>
      </c>
      <c r="C12" s="4" t="s">
        <v>243</v>
      </c>
      <c r="D12" t="s">
        <v>288</v>
      </c>
    </row>
    <row r="13" spans="1:7" x14ac:dyDescent="0.25">
      <c r="A13" t="s">
        <v>289</v>
      </c>
      <c r="B13" s="4">
        <v>2160</v>
      </c>
      <c r="C13" s="4" t="s">
        <v>279</v>
      </c>
      <c r="D13" t="s">
        <v>290</v>
      </c>
    </row>
    <row r="14" spans="1:7" x14ac:dyDescent="0.25">
      <c r="A14" t="s">
        <v>291</v>
      </c>
      <c r="B14" s="18">
        <v>5</v>
      </c>
      <c r="C14" s="4" t="s">
        <v>84</v>
      </c>
      <c r="D14" t="s">
        <v>292</v>
      </c>
    </row>
    <row r="15" spans="1:7" x14ac:dyDescent="0.25">
      <c r="A15" t="s">
        <v>293</v>
      </c>
      <c r="B15" s="21">
        <v>0.88</v>
      </c>
      <c r="C15" s="4" t="s">
        <v>243</v>
      </c>
      <c r="D15" t="s">
        <v>384</v>
      </c>
    </row>
    <row r="16" spans="1:7" x14ac:dyDescent="0.25">
      <c r="A16" t="s">
        <v>294</v>
      </c>
      <c r="B16" s="4">
        <v>5000</v>
      </c>
      <c r="C16" s="4" t="s">
        <v>295</v>
      </c>
      <c r="D16" t="s">
        <v>296</v>
      </c>
    </row>
    <row r="19" spans="1:7" x14ac:dyDescent="0.25">
      <c r="A19" s="26" t="s">
        <v>297</v>
      </c>
      <c r="B19" s="26"/>
      <c r="C19" s="26"/>
      <c r="D19" s="26"/>
      <c r="E19" s="26"/>
      <c r="F19" s="26"/>
      <c r="G19" s="26"/>
    </row>
    <row r="20" spans="1:7" x14ac:dyDescent="0.25">
      <c r="A20" s="16" t="s">
        <v>298</v>
      </c>
      <c r="B20" s="16" t="s">
        <v>152</v>
      </c>
      <c r="C20" s="16" t="s">
        <v>299</v>
      </c>
      <c r="D20" s="16" t="s">
        <v>300</v>
      </c>
      <c r="E20" s="16" t="s">
        <v>301</v>
      </c>
      <c r="F20" s="16" t="s">
        <v>302</v>
      </c>
      <c r="G20" s="16" t="s">
        <v>303</v>
      </c>
    </row>
    <row r="21" spans="1:7" x14ac:dyDescent="0.25">
      <c r="A21" t="s">
        <v>304</v>
      </c>
      <c r="B21" s="4">
        <v>1</v>
      </c>
      <c r="C21" s="22" t="s">
        <v>305</v>
      </c>
      <c r="D21" s="17">
        <v>1550</v>
      </c>
      <c r="E21" s="17">
        <v>1550</v>
      </c>
      <c r="F21" s="17">
        <v>7750</v>
      </c>
      <c r="G21" t="s">
        <v>306</v>
      </c>
    </row>
    <row r="22" spans="1:7" x14ac:dyDescent="0.25">
      <c r="A22" t="s">
        <v>307</v>
      </c>
      <c r="B22" s="4">
        <v>1</v>
      </c>
      <c r="C22" s="22" t="s">
        <v>305</v>
      </c>
      <c r="D22" s="17">
        <v>230</v>
      </c>
      <c r="E22" s="17">
        <v>230</v>
      </c>
      <c r="F22" s="17">
        <v>1150</v>
      </c>
      <c r="G22" t="s">
        <v>308</v>
      </c>
    </row>
    <row r="23" spans="1:7" x14ac:dyDescent="0.25">
      <c r="A23" t="s">
        <v>309</v>
      </c>
      <c r="B23" s="4">
        <v>1</v>
      </c>
      <c r="C23" s="22" t="s">
        <v>310</v>
      </c>
      <c r="D23" s="17">
        <v>180</v>
      </c>
      <c r="E23" s="17">
        <v>180</v>
      </c>
      <c r="F23" s="17">
        <v>900</v>
      </c>
      <c r="G23" t="s">
        <v>311</v>
      </c>
    </row>
    <row r="24" spans="1:7" x14ac:dyDescent="0.25">
      <c r="A24" t="s">
        <v>312</v>
      </c>
      <c r="B24" s="4">
        <v>1</v>
      </c>
      <c r="C24" s="22" t="s">
        <v>305</v>
      </c>
      <c r="D24" s="17">
        <v>70</v>
      </c>
      <c r="E24" s="17">
        <v>70</v>
      </c>
      <c r="F24" s="17">
        <v>350</v>
      </c>
      <c r="G24" t="s">
        <v>313</v>
      </c>
    </row>
    <row r="25" spans="1:7" x14ac:dyDescent="0.25">
      <c r="A25" t="s">
        <v>314</v>
      </c>
      <c r="B25" s="4">
        <v>1</v>
      </c>
      <c r="C25" s="22" t="s">
        <v>305</v>
      </c>
      <c r="D25" s="17">
        <v>1</v>
      </c>
      <c r="E25" s="17">
        <v>1</v>
      </c>
      <c r="F25" s="17">
        <v>5</v>
      </c>
      <c r="G25" t="s">
        <v>385</v>
      </c>
    </row>
    <row r="26" spans="1:7" x14ac:dyDescent="0.25">
      <c r="A26" t="s">
        <v>315</v>
      </c>
      <c r="B26" s="4">
        <v>1</v>
      </c>
      <c r="C26" s="22" t="s">
        <v>305</v>
      </c>
      <c r="D26" s="17">
        <v>5</v>
      </c>
      <c r="E26" s="17">
        <v>5</v>
      </c>
      <c r="F26" s="17">
        <v>25</v>
      </c>
      <c r="G26" t="s">
        <v>316</v>
      </c>
    </row>
    <row r="27" spans="1:7" x14ac:dyDescent="0.25">
      <c r="A27" t="s">
        <v>317</v>
      </c>
      <c r="B27" s="4">
        <v>2</v>
      </c>
      <c r="C27" s="22" t="s">
        <v>318</v>
      </c>
      <c r="D27" s="17">
        <v>160</v>
      </c>
      <c r="E27" s="17">
        <v>320</v>
      </c>
      <c r="F27" s="17">
        <v>3552</v>
      </c>
      <c r="G27" t="s">
        <v>386</v>
      </c>
    </row>
    <row r="28" spans="1:7" x14ac:dyDescent="0.25">
      <c r="A28" t="s">
        <v>319</v>
      </c>
      <c r="B28" s="4">
        <v>2</v>
      </c>
      <c r="C28" s="22" t="s">
        <v>318</v>
      </c>
      <c r="D28" s="17">
        <v>260</v>
      </c>
      <c r="E28" s="17">
        <v>520</v>
      </c>
      <c r="F28" s="17">
        <v>5772</v>
      </c>
      <c r="G28" t="s">
        <v>320</v>
      </c>
    </row>
    <row r="29" spans="1:7" x14ac:dyDescent="0.25">
      <c r="A29" t="s">
        <v>321</v>
      </c>
      <c r="B29" s="4">
        <v>2</v>
      </c>
      <c r="C29" s="22" t="s">
        <v>318</v>
      </c>
      <c r="D29" s="17">
        <v>550</v>
      </c>
      <c r="E29" s="17">
        <v>1100</v>
      </c>
      <c r="F29" s="17">
        <v>12210</v>
      </c>
      <c r="G29" t="s">
        <v>322</v>
      </c>
    </row>
    <row r="32" spans="1:7" x14ac:dyDescent="0.25">
      <c r="A32" s="26" t="s">
        <v>398</v>
      </c>
      <c r="B32" s="26"/>
      <c r="C32" s="26"/>
      <c r="D32" s="26"/>
      <c r="E32" s="26"/>
    </row>
    <row r="33" spans="1:4" x14ac:dyDescent="0.25">
      <c r="A33" s="16" t="s">
        <v>323</v>
      </c>
      <c r="B33" s="16" t="s">
        <v>270</v>
      </c>
      <c r="C33" s="16" t="s">
        <v>3</v>
      </c>
      <c r="D33" s="16" t="s">
        <v>364</v>
      </c>
    </row>
    <row r="34" spans="1:4" x14ac:dyDescent="0.25">
      <c r="A34" t="s">
        <v>324</v>
      </c>
      <c r="B34" s="17">
        <v>2036</v>
      </c>
      <c r="C34" s="4" t="s">
        <v>295</v>
      </c>
      <c r="D34" t="s">
        <v>325</v>
      </c>
    </row>
    <row r="35" spans="1:4" x14ac:dyDescent="0.25">
      <c r="A35" t="s">
        <v>326</v>
      </c>
      <c r="B35" s="18">
        <v>10.18</v>
      </c>
      <c r="C35" s="4" t="s">
        <v>327</v>
      </c>
      <c r="D35" t="s">
        <v>328</v>
      </c>
    </row>
    <row r="36" spans="1:4" x14ac:dyDescent="0.25">
      <c r="A36" t="s">
        <v>329</v>
      </c>
      <c r="B36" s="17">
        <v>1042</v>
      </c>
      <c r="C36" s="4" t="s">
        <v>295</v>
      </c>
      <c r="D36" t="s">
        <v>330</v>
      </c>
    </row>
    <row r="37" spans="1:4" x14ac:dyDescent="0.25">
      <c r="A37" t="s">
        <v>331</v>
      </c>
      <c r="B37" s="17">
        <v>320</v>
      </c>
      <c r="C37" s="4" t="s">
        <v>295</v>
      </c>
      <c r="D37" t="s">
        <v>332</v>
      </c>
    </row>
    <row r="38" spans="1:4" x14ac:dyDescent="0.25">
      <c r="A38" t="s">
        <v>333</v>
      </c>
      <c r="B38" s="17">
        <v>1362</v>
      </c>
      <c r="C38" s="4" t="s">
        <v>295</v>
      </c>
      <c r="D38" t="s">
        <v>334</v>
      </c>
    </row>
    <row r="39" spans="1:4" x14ac:dyDescent="0.25">
      <c r="A39" t="s">
        <v>335</v>
      </c>
      <c r="B39" s="18">
        <v>15.12</v>
      </c>
      <c r="C39" s="4" t="s">
        <v>327</v>
      </c>
      <c r="D39" t="s">
        <v>336</v>
      </c>
    </row>
    <row r="40" spans="1:4" x14ac:dyDescent="0.25">
      <c r="A40" t="s">
        <v>337</v>
      </c>
      <c r="B40" s="19">
        <v>1.5860000000000001</v>
      </c>
      <c r="C40" s="4" t="s">
        <v>338</v>
      </c>
      <c r="D40" t="s">
        <v>339</v>
      </c>
    </row>
    <row r="41" spans="1:4" x14ac:dyDescent="0.25">
      <c r="A41" t="s">
        <v>340</v>
      </c>
      <c r="B41" s="17">
        <v>1562</v>
      </c>
      <c r="C41" s="4" t="s">
        <v>295</v>
      </c>
      <c r="D41" t="s">
        <v>341</v>
      </c>
    </row>
    <row r="42" spans="1:4" x14ac:dyDescent="0.25">
      <c r="A42" t="s">
        <v>342</v>
      </c>
      <c r="B42" s="18">
        <v>17.34</v>
      </c>
      <c r="C42" s="4" t="s">
        <v>327</v>
      </c>
      <c r="D42" t="s">
        <v>343</v>
      </c>
    </row>
    <row r="43" spans="1:4" x14ac:dyDescent="0.25">
      <c r="A43" t="s">
        <v>344</v>
      </c>
      <c r="B43" s="19">
        <v>1.383</v>
      </c>
      <c r="C43" s="4" t="s">
        <v>338</v>
      </c>
      <c r="D43" t="s">
        <v>345</v>
      </c>
    </row>
    <row r="44" spans="1:4" x14ac:dyDescent="0.25">
      <c r="A44" t="s">
        <v>346</v>
      </c>
      <c r="B44" s="17">
        <v>2142</v>
      </c>
      <c r="C44" s="4" t="s">
        <v>295</v>
      </c>
      <c r="D44" t="s">
        <v>347</v>
      </c>
    </row>
    <row r="45" spans="1:4" x14ac:dyDescent="0.25">
      <c r="A45" t="s">
        <v>348</v>
      </c>
      <c r="B45" s="19">
        <v>1.008</v>
      </c>
      <c r="C45" s="4" t="s">
        <v>338</v>
      </c>
      <c r="D45" t="s">
        <v>349</v>
      </c>
    </row>
    <row r="46" spans="1:4" x14ac:dyDescent="0.25">
      <c r="A46" t="s">
        <v>350</v>
      </c>
      <c r="B46" s="4" t="s">
        <v>78</v>
      </c>
      <c r="C46" s="4" t="s">
        <v>79</v>
      </c>
      <c r="D46" t="s">
        <v>351</v>
      </c>
    </row>
    <row r="47" spans="1:4" x14ac:dyDescent="0.25">
      <c r="A47" t="s">
        <v>352</v>
      </c>
      <c r="B47" s="3" t="s">
        <v>12</v>
      </c>
      <c r="C47" s="4" t="s">
        <v>243</v>
      </c>
      <c r="D47" t="s">
        <v>353</v>
      </c>
    </row>
    <row r="48" spans="1:4" x14ac:dyDescent="0.25">
      <c r="A48" t="s">
        <v>354</v>
      </c>
      <c r="B48" s="17">
        <v>5000</v>
      </c>
      <c r="C48" s="4" t="s">
        <v>295</v>
      </c>
      <c r="D48" t="s">
        <v>355</v>
      </c>
    </row>
    <row r="49" spans="1:4" x14ac:dyDescent="0.25">
      <c r="A49" t="s">
        <v>356</v>
      </c>
      <c r="B49" s="20">
        <v>59.3</v>
      </c>
      <c r="C49" s="4" t="s">
        <v>357</v>
      </c>
      <c r="D49" t="s">
        <v>358</v>
      </c>
    </row>
    <row r="50" spans="1:4" x14ac:dyDescent="0.25">
      <c r="A50" t="s">
        <v>359</v>
      </c>
      <c r="B50" s="18">
        <v>4.9000000000000004</v>
      </c>
      <c r="C50" s="4" t="s">
        <v>84</v>
      </c>
      <c r="D50" t="s">
        <v>360</v>
      </c>
    </row>
    <row r="51" spans="1:4" x14ac:dyDescent="0.25">
      <c r="A51" t="s">
        <v>361</v>
      </c>
      <c r="B51" s="3" t="s">
        <v>362</v>
      </c>
      <c r="C51" s="4" t="s">
        <v>243</v>
      </c>
      <c r="D51" t="s">
        <v>363</v>
      </c>
    </row>
  </sheetData>
  <mergeCells count="4">
    <mergeCell ref="A1:G1"/>
    <mergeCell ref="A4:G4"/>
    <mergeCell ref="A19:G19"/>
    <mergeCell ref="A32:E3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Requirements</vt:lpstr>
      <vt:lpstr>Component Selection</vt:lpstr>
      <vt:lpstr>Architecture Comparison</vt:lpstr>
      <vt:lpstr>Energy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Maud Haas</cp:lastModifiedBy>
  <dcterms:created xsi:type="dcterms:W3CDTF">2026-10-02T08:26:34Z</dcterms:created>
  <dcterms:modified xsi:type="dcterms:W3CDTF">2026-10-04T12:41:56Z</dcterms:modified>
</cp:coreProperties>
</file>