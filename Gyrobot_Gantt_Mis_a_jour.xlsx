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exv\Downloads\"/>
    </mc:Choice>
  </mc:AlternateContent>
  <xr:revisionPtr revIDLastSave="0" documentId="13_ncr:1_{0AEB759C-9167-4A39-8554-DBAF2082FA2E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Gant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" l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<sst xmlns="http://schemas.openxmlformats.org/spreadsheetml/2006/main" count="73" uniqueCount="51">
  <si>
    <t>Gyrobot Gantt Chart</t>
  </si>
  <si>
    <t>T0 Kickoff: 09/03/26   |   T1 Audit: 10/06/26   |   T2 PDR : 20/11/26   |   T3 CDR + Mini trade show : 08/01/27</t>
  </si>
  <si>
    <t>Phase</t>
  </si>
  <si>
    <t>Task</t>
  </si>
  <si>
    <t>Owner</t>
  </si>
  <si>
    <t>Start</t>
  </si>
  <si>
    <t>End</t>
  </si>
  <si>
    <t>Duration (days)</t>
  </si>
  <si>
    <t>Phase A: Scoping and Analysis</t>
  </si>
  <si>
    <t>T0: Project kickoff</t>
  </si>
  <si>
    <t>Update GitLab</t>
  </si>
  <si>
    <t>All</t>
  </si>
  <si>
    <t>Write the ReadMe</t>
  </si>
  <si>
    <t>Simon</t>
  </si>
  <si>
    <t>Create the various diagrams</t>
  </si>
  <si>
    <t>Identify the project's HVA functions</t>
  </si>
  <si>
    <t>Specifications document</t>
  </si>
  <si>
    <t>Issam</t>
  </si>
  <si>
    <t>CSR approach</t>
  </si>
  <si>
    <t>Maud</t>
  </si>
  <si>
    <t>Write the T1 technical report (Audit)</t>
  </si>
  <si>
    <t>Alexandre</t>
  </si>
  <si>
    <t>Prepare the PPT (critical path)</t>
  </si>
  <si>
    <t>T1: Audit</t>
  </si>
  <si>
    <t>Phase B: Design and Technical Solutions</t>
  </si>
  <si>
    <t>Detail the Phase T1 Gantt chart</t>
  </si>
  <si>
    <t>To be defined</t>
  </si>
  <si>
    <t>Select components and place order</t>
  </si>
  <si>
    <t>Maud &amp; Simon</t>
  </si>
  <si>
    <t>Generate and evaluate technical solutions for each function</t>
  </si>
  <si>
    <t>Advance system's 3D mechanical design (sizing, architecture)</t>
  </si>
  <si>
    <t>Gestion PCB (Conception &amp; Routage)</t>
  </si>
  <si>
    <t>Validation PCB</t>
  </si>
  <si>
    <t>Justify chosen technical solutions + CSR component</t>
  </si>
  <si>
    <t>Preliminary HVA review + technical report update (PDR)</t>
  </si>
  <si>
    <t>T2: PDR</t>
  </si>
  <si>
    <t>Phase C: Integration and HVA Validation</t>
  </si>
  <si>
    <t>Detail the Phase T2 Gantt chart</t>
  </si>
  <si>
    <t>Test composants</t>
  </si>
  <si>
    <t>Manufacture / Assemblage Robot</t>
  </si>
  <si>
    <t>Tenir debout (Asservissement / Équilibrage)</t>
  </si>
  <si>
    <t>LiDAR - Acquisition &amp; Traitement</t>
  </si>
  <si>
    <t>Caméra 3D &amp; Écriture code Python (récup data)</t>
  </si>
  <si>
    <t>Intégration fonctionnalités Caméra + LiDAR</t>
  </si>
  <si>
    <t>Rendre fonctionnelle l'IHM + Rapport IHM</t>
  </si>
  <si>
    <t>Tout intégrer (Matériel + Logiciel)</t>
  </si>
  <si>
    <t>Test each function against requirements (compliance matrix)</t>
  </si>
  <si>
    <t>Fix identified defects</t>
  </si>
  <si>
    <t>Prepare HVA demonstration (CDR) + marketing video (English)</t>
  </si>
  <si>
    <t>Write final S1 technical report</t>
  </si>
  <si>
    <t>T3: CDR + Mini trade 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</si>
</sst>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6" formatCode="yyyy\-mm\-dd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  <font>
      <b/>
      <sz val="10"/>
      <color rgb="FF1F4E78"/>
      <name val="Arial"/>
    </font>
    <font>
      <b/>
      <sz val="10"/>
      <color rgb="FFC00000"/>
      <name val="Arial"/>
    </font>
    <font>
      <sz val="10"/>
      <color rgb="FF000000"/>
      <name val="Arial"/>
    </font>
    <font>
      <b/>
      <sz val="10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  <fill>
      <patternFill patternType="solid">
        <fgColor rgb="FF1F4E78"/>
        <bgColor rgb="FF1F4E78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wrapText="1"/>
    </xf>
    <xf numFmtId="0" fontId="7" fillId="7" borderId="1" xfId="0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/>
    <xf numFmtId="0" fontId="4" fillId="5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wrapText="1"/>
    </xf>
    <xf numFmtId="0" fontId="4" fillId="6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7">
    <dxf>
      <fill>
        <patternFill patternType="solid">
          <fgColor rgb="FFC00000"/>
          <bgColor rgb="FFC00000"/>
        </patternFill>
      </fill>
    </dxf>
    <dxf>
      <fill>
        <patternFill patternType="solid">
          <fgColor rgb="FF2E75B6"/>
          <bgColor rgb="FF2E75B6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2E75B6"/>
          <bgColor rgb="FF2E75B6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2E75B6"/>
          <bgColor rgb="FF2E75B6"/>
        </patternFill>
      </fill>
    </dxf>
    <dxf>
      <fill>
        <patternFill patternType="solid">
          <fgColor rgb="FFC00000"/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770965</xdr:colOff>
      <xdr:row>8</xdr:row>
      <xdr:rowOff>98612</xdr:rowOff>
    </xdr:from>
    <xdr:to>
      <xdr:col>10</xdr:col>
      <xdr:colOff>116541</xdr:colOff>
      <xdr:row>16</xdr:row>
      <xdr:rowOff>44823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FE341AD1-E224-B647-C9F1-C5F8D74797BD}"/>
            </a:ext>
          </a:extLst>
        </xdr:cNvPr>
        <xdr:cNvCxnSpPr/>
      </xdr:nvCxnSpPr>
      <xdr:spPr>
        <a:xfrm>
          <a:off x="13258800" y="2232212"/>
          <a:ext cx="170329" cy="138056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788894</xdr:colOff>
      <xdr:row>8</xdr:row>
      <xdr:rowOff>116541</xdr:rowOff>
    </xdr:from>
    <xdr:to>
      <xdr:col>10</xdr:col>
      <xdr:colOff>26894</xdr:colOff>
      <xdr:row>16</xdr:row>
      <xdr:rowOff>107576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6D4354D1-45EB-958C-1A3A-C98BCF8A503B}"/>
            </a:ext>
          </a:extLst>
        </xdr:cNvPr>
        <xdr:cNvCxnSpPr/>
      </xdr:nvCxnSpPr>
      <xdr:spPr>
        <a:xfrm>
          <a:off x="13276729" y="2250141"/>
          <a:ext cx="62753" cy="1425388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788894</xdr:colOff>
      <xdr:row>8</xdr:row>
      <xdr:rowOff>152400</xdr:rowOff>
    </xdr:from>
    <xdr:to>
      <xdr:col>10</xdr:col>
      <xdr:colOff>137160</xdr:colOff>
      <xdr:row>13</xdr:row>
      <xdr:rowOff>99060</xdr:rowOff>
    </xdr:to>
    <xdr:cxnSp macro="">
      <xdr:nvCxnSpPr>
        <xdr:cNvPr id="8" name="Connecteur droit avec flèche 7">
          <a:extLst>
            <a:ext uri="{FF2B5EF4-FFF2-40B4-BE49-F238E27FC236}">
              <a16:creationId xmlns:a16="http://schemas.microsoft.com/office/drawing/2014/main" id="{FBBA59F2-C446-419F-A37E-69F2A61D3441}"/>
            </a:ext>
          </a:extLst>
        </xdr:cNvPr>
        <xdr:cNvCxnSpPr/>
      </xdr:nvCxnSpPr>
      <xdr:spPr>
        <a:xfrm>
          <a:off x="13194254" y="2301240"/>
          <a:ext cx="171226" cy="86106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800100</xdr:colOff>
      <xdr:row>8</xdr:row>
      <xdr:rowOff>144780</xdr:rowOff>
    </xdr:from>
    <xdr:to>
      <xdr:col>10</xdr:col>
      <xdr:colOff>304800</xdr:colOff>
      <xdr:row>12</xdr:row>
      <xdr:rowOff>83820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86AC213C-6C44-40B2-9D4E-D0DA4E0D100F}"/>
            </a:ext>
          </a:extLst>
        </xdr:cNvPr>
        <xdr:cNvCxnSpPr/>
      </xdr:nvCxnSpPr>
      <xdr:spPr>
        <a:xfrm>
          <a:off x="13205460" y="2293620"/>
          <a:ext cx="327660" cy="67056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581890</xdr:colOff>
      <xdr:row>16</xdr:row>
      <xdr:rowOff>124691</xdr:rowOff>
    </xdr:from>
    <xdr:to>
      <xdr:col>15</xdr:col>
      <xdr:colOff>80683</xdr:colOff>
      <xdr:row>20</xdr:row>
      <xdr:rowOff>62752</xdr:rowOff>
    </xdr:to>
    <xdr:cxnSp macro="">
      <xdr:nvCxnSpPr>
        <xdr:cNvPr id="14" name="Connecteur droit avec flèche 13">
          <a:extLst>
            <a:ext uri="{FF2B5EF4-FFF2-40B4-BE49-F238E27FC236}">
              <a16:creationId xmlns:a16="http://schemas.microsoft.com/office/drawing/2014/main" id="{E6727232-3B8E-491D-B6E3-9DAF5728636B}"/>
            </a:ext>
          </a:extLst>
        </xdr:cNvPr>
        <xdr:cNvCxnSpPr/>
      </xdr:nvCxnSpPr>
      <xdr:spPr>
        <a:xfrm>
          <a:off x="15472266" y="3692644"/>
          <a:ext cx="1973052" cy="834532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618565</xdr:colOff>
      <xdr:row>16</xdr:row>
      <xdr:rowOff>143435</xdr:rowOff>
    </xdr:from>
    <xdr:to>
      <xdr:col>15</xdr:col>
      <xdr:colOff>89647</xdr:colOff>
      <xdr:row>21</xdr:row>
      <xdr:rowOff>98611</xdr:rowOff>
    </xdr:to>
    <xdr:cxnSp macro="">
      <xdr:nvCxnSpPr>
        <xdr:cNvPr id="16" name="Connecteur droit avec flèche 15">
          <a:extLst>
            <a:ext uri="{FF2B5EF4-FFF2-40B4-BE49-F238E27FC236}">
              <a16:creationId xmlns:a16="http://schemas.microsoft.com/office/drawing/2014/main" id="{1BEA34EC-7D90-47C2-B83D-FBBEF018952F}"/>
            </a:ext>
          </a:extLst>
        </xdr:cNvPr>
        <xdr:cNvCxnSpPr/>
      </xdr:nvCxnSpPr>
      <xdr:spPr>
        <a:xfrm>
          <a:off x="15508941" y="3711388"/>
          <a:ext cx="1945341" cy="103094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806824</xdr:colOff>
      <xdr:row>21</xdr:row>
      <xdr:rowOff>134470</xdr:rowOff>
    </xdr:from>
    <xdr:to>
      <xdr:col>18</xdr:col>
      <xdr:colOff>26894</xdr:colOff>
      <xdr:row>28</xdr:row>
      <xdr:rowOff>152400</xdr:rowOff>
    </xdr:to>
    <xdr:cxnSp macro="">
      <xdr:nvCxnSpPr>
        <xdr:cNvPr id="19" name="Connecteur droit avec flèche 18">
          <a:extLst>
            <a:ext uri="{FF2B5EF4-FFF2-40B4-BE49-F238E27FC236}">
              <a16:creationId xmlns:a16="http://schemas.microsoft.com/office/drawing/2014/main" id="{DB66889D-69C9-40C8-8DEE-DB5166280521}"/>
            </a:ext>
          </a:extLst>
        </xdr:cNvPr>
        <xdr:cNvCxnSpPr/>
      </xdr:nvCxnSpPr>
      <xdr:spPr>
        <a:xfrm>
          <a:off x="19820965" y="4778188"/>
          <a:ext cx="44823" cy="1479177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806824</xdr:colOff>
      <xdr:row>21</xdr:row>
      <xdr:rowOff>134470</xdr:rowOff>
    </xdr:from>
    <xdr:to>
      <xdr:col>18</xdr:col>
      <xdr:colOff>277906</xdr:colOff>
      <xdr:row>29</xdr:row>
      <xdr:rowOff>152400</xdr:rowOff>
    </xdr:to>
    <xdr:cxnSp macro="">
      <xdr:nvCxnSpPr>
        <xdr:cNvPr id="21" name="Connecteur droit avec flèche 20">
          <a:extLst>
            <a:ext uri="{FF2B5EF4-FFF2-40B4-BE49-F238E27FC236}">
              <a16:creationId xmlns:a16="http://schemas.microsoft.com/office/drawing/2014/main" id="{27A3C7F6-0ABF-4C86-8D47-6055D3A70756}"/>
            </a:ext>
          </a:extLst>
        </xdr:cNvPr>
        <xdr:cNvCxnSpPr/>
      </xdr:nvCxnSpPr>
      <xdr:spPr>
        <a:xfrm>
          <a:off x="19820965" y="4778188"/>
          <a:ext cx="295835" cy="165847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"/>
  <sheetViews>
    <sheetView tabSelected="1" zoomScale="55" zoomScaleNormal="55" workbookViewId="0">
      <pane xSplit="6" ySplit="5" topLeftCell="O6" activePane="bottomRight" state="frozen"/>
      <selection pane="topRight" activeCell="G1" sqref="G1"/>
      <selection pane="bottomLeft" activeCell="A6" sqref="A6"/>
      <selection pane="bottomRight" activeCell="AB15" sqref="AB15"/>
    </sheetView>
  </sheetViews>
  <sheetFormatPr baseColWidth="10" defaultColWidth="8.6640625" defaultRowHeight="14.4" x14ac:dyDescent="0.3"/>
  <cols>
    <col min="1" max="1" width="32" customWidth="1"/>
    <col min="2" max="2" width="52" customWidth="1"/>
    <col min="3" max="3" width="18" bestFit="1" customWidth="1"/>
    <col min="4" max="4" width="14" bestFit="1" customWidth="1"/>
    <col min="5" max="5" width="14" customWidth="1"/>
    <col min="6" max="6" width="14.88671875" customWidth="1"/>
    <col min="7" max="26" width="12" customWidth="1"/>
  </cols>
  <sheetData>
    <row r="1" spans="1:26" ht="2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x14ac:dyDescent="0.3">
      <c r="A2" s="24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27.75" customHeight="1" x14ac:dyDescent="0.3">
      <c r="A3" s="25"/>
      <c r="B3" s="23"/>
      <c r="C3" s="23"/>
      <c r="D3" s="23"/>
      <c r="E3" s="23"/>
      <c r="F3" s="2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5" spans="1:26" ht="45.75" customHeight="1" x14ac:dyDescent="0.3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3">
        <v>46265</v>
      </c>
      <c r="H5" s="3">
        <v>46272</v>
      </c>
      <c r="I5" s="3">
        <v>46279</v>
      </c>
      <c r="J5" s="3">
        <v>46286</v>
      </c>
      <c r="K5" s="3">
        <v>46293</v>
      </c>
      <c r="L5" s="3">
        <v>46300</v>
      </c>
      <c r="M5" s="3">
        <v>46307</v>
      </c>
      <c r="N5" s="3">
        <v>46314</v>
      </c>
      <c r="O5" s="3">
        <v>46321</v>
      </c>
      <c r="P5" s="3">
        <v>46328</v>
      </c>
      <c r="Q5" s="3">
        <v>46335</v>
      </c>
      <c r="R5" s="3">
        <v>46342</v>
      </c>
      <c r="S5" s="3">
        <v>46349</v>
      </c>
      <c r="T5" s="3">
        <v>46356</v>
      </c>
      <c r="U5" s="3">
        <v>46363</v>
      </c>
      <c r="V5" s="3">
        <v>46370</v>
      </c>
      <c r="W5" s="3">
        <v>46377</v>
      </c>
      <c r="X5" s="3">
        <v>46384</v>
      </c>
      <c r="Y5" s="3">
        <v>46391</v>
      </c>
      <c r="Z5" s="3">
        <v>46398</v>
      </c>
    </row>
    <row r="6" spans="1:26" x14ac:dyDescent="0.3">
      <c r="A6" s="27" t="s">
        <v>8</v>
      </c>
      <c r="B6" s="4" t="s">
        <v>9</v>
      </c>
      <c r="C6" s="5"/>
      <c r="D6" s="6">
        <v>46268</v>
      </c>
      <c r="E6" s="6">
        <v>46268</v>
      </c>
      <c r="F6" s="7">
        <f t="shared" ref="F6:F38" si="0">E6-D6+1</f>
        <v>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55" customHeight="1" x14ac:dyDescent="0.3">
      <c r="A7" s="20"/>
      <c r="B7" s="9" t="s">
        <v>10</v>
      </c>
      <c r="C7" s="10" t="s">
        <v>11</v>
      </c>
      <c r="D7" s="11">
        <v>46268</v>
      </c>
      <c r="E7" s="11">
        <v>46300</v>
      </c>
      <c r="F7" s="12">
        <f t="shared" si="0"/>
        <v>33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x14ac:dyDescent="0.3">
      <c r="A8" s="20"/>
      <c r="B8" s="14" t="s">
        <v>12</v>
      </c>
      <c r="C8" s="15" t="s">
        <v>13</v>
      </c>
      <c r="D8" s="16">
        <v>46268</v>
      </c>
      <c r="E8" s="16">
        <v>46273</v>
      </c>
      <c r="F8" s="17">
        <f t="shared" si="0"/>
        <v>6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x14ac:dyDescent="0.3">
      <c r="A9" s="20"/>
      <c r="B9" s="9" t="s">
        <v>14</v>
      </c>
      <c r="C9" s="10" t="s">
        <v>11</v>
      </c>
      <c r="D9" s="11">
        <v>46269</v>
      </c>
      <c r="E9" s="11">
        <v>46287</v>
      </c>
      <c r="F9" s="12">
        <f t="shared" si="0"/>
        <v>19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x14ac:dyDescent="0.3">
      <c r="A10" s="20"/>
      <c r="B10" s="14" t="s">
        <v>15</v>
      </c>
      <c r="C10" s="15" t="s">
        <v>11</v>
      </c>
      <c r="D10" s="16">
        <v>46280</v>
      </c>
      <c r="E10" s="16">
        <v>46294</v>
      </c>
      <c r="F10" s="17">
        <f t="shared" si="0"/>
        <v>15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x14ac:dyDescent="0.3">
      <c r="A11" s="20"/>
      <c r="B11" s="9" t="s">
        <v>16</v>
      </c>
      <c r="C11" s="10" t="s">
        <v>17</v>
      </c>
      <c r="D11" s="11">
        <v>46286</v>
      </c>
      <c r="E11" s="11">
        <v>46295</v>
      </c>
      <c r="F11" s="12">
        <f t="shared" si="0"/>
        <v>10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x14ac:dyDescent="0.3">
      <c r="A12" s="20"/>
      <c r="B12" s="14" t="s">
        <v>18</v>
      </c>
      <c r="C12" s="15" t="s">
        <v>19</v>
      </c>
      <c r="D12" s="16">
        <v>46295</v>
      </c>
      <c r="E12" s="16">
        <v>46299</v>
      </c>
      <c r="F12" s="17">
        <f t="shared" si="0"/>
        <v>5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x14ac:dyDescent="0.3">
      <c r="A13" s="20"/>
      <c r="B13" s="9" t="s">
        <v>20</v>
      </c>
      <c r="C13" s="10" t="s">
        <v>21</v>
      </c>
      <c r="D13" s="11">
        <v>46293</v>
      </c>
      <c r="E13" s="11">
        <v>46300</v>
      </c>
      <c r="F13" s="12">
        <f t="shared" si="0"/>
        <v>8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x14ac:dyDescent="0.3">
      <c r="A14" s="20"/>
      <c r="B14" s="14" t="s">
        <v>22</v>
      </c>
      <c r="C14" s="15" t="s">
        <v>11</v>
      </c>
      <c r="D14" s="16">
        <v>46295</v>
      </c>
      <c r="E14" s="16">
        <v>46300</v>
      </c>
      <c r="F14" s="17">
        <f t="shared" si="0"/>
        <v>6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x14ac:dyDescent="0.3">
      <c r="A15" s="21"/>
      <c r="B15" s="4" t="s">
        <v>23</v>
      </c>
      <c r="C15" s="5"/>
      <c r="D15" s="6">
        <v>46301</v>
      </c>
      <c r="E15" s="6">
        <v>46301</v>
      </c>
      <c r="F15" s="7">
        <f t="shared" si="0"/>
        <v>1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3">
      <c r="A16" s="26" t="s">
        <v>24</v>
      </c>
      <c r="B16" s="14" t="s">
        <v>25</v>
      </c>
      <c r="C16" s="15" t="s">
        <v>26</v>
      </c>
      <c r="D16" s="16">
        <v>46301</v>
      </c>
      <c r="E16" s="16">
        <v>46302</v>
      </c>
      <c r="F16" s="17">
        <f t="shared" si="0"/>
        <v>2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x14ac:dyDescent="0.3">
      <c r="A17" s="20"/>
      <c r="B17" s="9" t="s">
        <v>27</v>
      </c>
      <c r="C17" s="10" t="s">
        <v>28</v>
      </c>
      <c r="D17" s="11">
        <v>46294</v>
      </c>
      <c r="E17" s="11">
        <v>46310</v>
      </c>
      <c r="F17" s="12">
        <f t="shared" si="0"/>
        <v>17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" customHeight="1" x14ac:dyDescent="0.3">
      <c r="A18" s="20"/>
      <c r="B18" s="14" t="s">
        <v>29</v>
      </c>
      <c r="C18" s="15" t="s">
        <v>26</v>
      </c>
      <c r="D18" s="16">
        <v>46301</v>
      </c>
      <c r="E18" s="16">
        <v>46314</v>
      </c>
      <c r="F18" s="17">
        <f t="shared" si="0"/>
        <v>14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7.6" customHeight="1" x14ac:dyDescent="0.3">
      <c r="A19" s="20"/>
      <c r="B19" s="9" t="s">
        <v>30</v>
      </c>
      <c r="C19" s="10" t="s">
        <v>26</v>
      </c>
      <c r="D19" s="11">
        <v>46308</v>
      </c>
      <c r="E19" s="11">
        <v>46329</v>
      </c>
      <c r="F19" s="12">
        <f t="shared" si="0"/>
        <v>22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x14ac:dyDescent="0.3">
      <c r="A20" s="20"/>
      <c r="B20" s="14" t="s">
        <v>31</v>
      </c>
      <c r="C20" s="15" t="s">
        <v>26</v>
      </c>
      <c r="D20" s="16">
        <v>46301</v>
      </c>
      <c r="E20" s="16">
        <v>46321</v>
      </c>
      <c r="F20" s="17">
        <f t="shared" si="0"/>
        <v>21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x14ac:dyDescent="0.3">
      <c r="A21" s="20"/>
      <c r="B21" s="9" t="s">
        <v>32</v>
      </c>
      <c r="C21" s="10" t="s">
        <v>26</v>
      </c>
      <c r="D21" s="11">
        <v>46322</v>
      </c>
      <c r="E21" s="11">
        <v>46335</v>
      </c>
      <c r="F21" s="12">
        <f t="shared" si="0"/>
        <v>14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x14ac:dyDescent="0.3">
      <c r="A22" s="20"/>
      <c r="B22" s="14" t="s">
        <v>33</v>
      </c>
      <c r="C22" s="15" t="s">
        <v>26</v>
      </c>
      <c r="D22" s="16">
        <v>46329</v>
      </c>
      <c r="E22" s="16">
        <v>46345</v>
      </c>
      <c r="F22" s="17">
        <f t="shared" si="0"/>
        <v>17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x14ac:dyDescent="0.3">
      <c r="A23" s="20"/>
      <c r="B23" s="9" t="s">
        <v>34</v>
      </c>
      <c r="C23" s="10" t="s">
        <v>26</v>
      </c>
      <c r="D23" s="11">
        <v>46328</v>
      </c>
      <c r="E23" s="11">
        <v>46346</v>
      </c>
      <c r="F23" s="12">
        <f t="shared" si="0"/>
        <v>19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x14ac:dyDescent="0.3">
      <c r="A24" s="21"/>
      <c r="B24" s="4" t="s">
        <v>35</v>
      </c>
      <c r="C24" s="5"/>
      <c r="D24" s="6">
        <v>46346</v>
      </c>
      <c r="E24" s="6">
        <v>46346</v>
      </c>
      <c r="F24" s="7">
        <f t="shared" si="0"/>
        <v>1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x14ac:dyDescent="0.3">
      <c r="A25" s="19" t="s">
        <v>36</v>
      </c>
      <c r="B25" s="9" t="s">
        <v>37</v>
      </c>
      <c r="C25" s="10" t="s">
        <v>26</v>
      </c>
      <c r="D25" s="11">
        <v>46346</v>
      </c>
      <c r="E25" s="11">
        <v>46347</v>
      </c>
      <c r="F25" s="12">
        <f t="shared" si="0"/>
        <v>2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x14ac:dyDescent="0.3">
      <c r="A26" s="20"/>
      <c r="B26" s="14" t="s">
        <v>38</v>
      </c>
      <c r="C26" s="15" t="s">
        <v>26</v>
      </c>
      <c r="D26" s="16">
        <v>46349</v>
      </c>
      <c r="E26" s="16">
        <v>46353</v>
      </c>
      <c r="F26" s="17">
        <f t="shared" si="0"/>
        <v>5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x14ac:dyDescent="0.3">
      <c r="A27" s="20"/>
      <c r="B27" s="9" t="s">
        <v>39</v>
      </c>
      <c r="C27" s="10" t="s">
        <v>26</v>
      </c>
      <c r="D27" s="11">
        <v>46356</v>
      </c>
      <c r="E27" s="11">
        <v>46360</v>
      </c>
      <c r="F27" s="12">
        <f t="shared" si="0"/>
        <v>5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30" customHeight="1" x14ac:dyDescent="0.3">
      <c r="A28" s="20"/>
      <c r="B28" s="14" t="s">
        <v>40</v>
      </c>
      <c r="C28" s="15" t="s">
        <v>26</v>
      </c>
      <c r="D28" s="16">
        <v>46363</v>
      </c>
      <c r="E28" s="16">
        <v>46367</v>
      </c>
      <c r="F28" s="17">
        <f t="shared" si="0"/>
        <v>5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x14ac:dyDescent="0.3">
      <c r="A29" s="20"/>
      <c r="B29" s="9" t="s">
        <v>41</v>
      </c>
      <c r="C29" s="10" t="s">
        <v>26</v>
      </c>
      <c r="D29" s="11">
        <v>46349</v>
      </c>
      <c r="E29" s="11">
        <v>46360</v>
      </c>
      <c r="F29" s="12">
        <f t="shared" si="0"/>
        <v>12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x14ac:dyDescent="0.3">
      <c r="A30" s="20"/>
      <c r="B30" s="14" t="s">
        <v>42</v>
      </c>
      <c r="C30" s="15" t="s">
        <v>26</v>
      </c>
      <c r="D30" s="16">
        <v>46349</v>
      </c>
      <c r="E30" s="16">
        <v>46360</v>
      </c>
      <c r="F30" s="17">
        <f t="shared" si="0"/>
        <v>12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x14ac:dyDescent="0.3">
      <c r="A31" s="20"/>
      <c r="B31" s="9" t="s">
        <v>43</v>
      </c>
      <c r="C31" s="10" t="s">
        <v>26</v>
      </c>
      <c r="D31" s="11">
        <v>46363</v>
      </c>
      <c r="E31" s="11">
        <v>46374</v>
      </c>
      <c r="F31" s="12">
        <f t="shared" si="0"/>
        <v>12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x14ac:dyDescent="0.3">
      <c r="A32" s="20"/>
      <c r="B32" s="14" t="s">
        <v>44</v>
      </c>
      <c r="C32" s="15" t="s">
        <v>26</v>
      </c>
      <c r="D32" s="16">
        <v>46363</v>
      </c>
      <c r="E32" s="16">
        <v>46374</v>
      </c>
      <c r="F32" s="17">
        <f t="shared" si="0"/>
        <v>12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x14ac:dyDescent="0.3">
      <c r="A33" s="20"/>
      <c r="B33" s="9" t="s">
        <v>45</v>
      </c>
      <c r="C33" s="10" t="s">
        <v>26</v>
      </c>
      <c r="D33" s="11">
        <v>46377</v>
      </c>
      <c r="E33" s="11">
        <v>46388</v>
      </c>
      <c r="F33" s="12">
        <f t="shared" si="0"/>
        <v>12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x14ac:dyDescent="0.3">
      <c r="A34" s="20"/>
      <c r="B34" s="14" t="s">
        <v>46</v>
      </c>
      <c r="C34" s="15" t="s">
        <v>26</v>
      </c>
      <c r="D34" s="16">
        <v>46371</v>
      </c>
      <c r="E34" s="16">
        <v>46392</v>
      </c>
      <c r="F34" s="17">
        <f t="shared" si="0"/>
        <v>22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x14ac:dyDescent="0.3">
      <c r="A35" s="20"/>
      <c r="B35" s="9" t="s">
        <v>47</v>
      </c>
      <c r="C35" s="10" t="s">
        <v>26</v>
      </c>
      <c r="D35" s="11">
        <v>46391</v>
      </c>
      <c r="E35" s="11">
        <v>46394</v>
      </c>
      <c r="F35" s="12">
        <f t="shared" si="0"/>
        <v>4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x14ac:dyDescent="0.3">
      <c r="A36" s="20"/>
      <c r="B36" s="14" t="s">
        <v>48</v>
      </c>
      <c r="C36" s="15" t="s">
        <v>26</v>
      </c>
      <c r="D36" s="16">
        <v>46371</v>
      </c>
      <c r="E36" s="16">
        <v>46394</v>
      </c>
      <c r="F36" s="17">
        <f t="shared" si="0"/>
        <v>24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x14ac:dyDescent="0.3">
      <c r="A37" s="20"/>
      <c r="B37" s="9" t="s">
        <v>49</v>
      </c>
      <c r="C37" s="10" t="s">
        <v>26</v>
      </c>
      <c r="D37" s="11">
        <v>46371</v>
      </c>
      <c r="E37" s="11">
        <v>46394</v>
      </c>
      <c r="F37" s="12">
        <f t="shared" si="0"/>
        <v>24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x14ac:dyDescent="0.3">
      <c r="A38" s="21"/>
      <c r="B38" s="4" t="s">
        <v>50</v>
      </c>
      <c r="C38" s="5"/>
      <c r="D38" s="6">
        <v>46395</v>
      </c>
      <c r="E38" s="6">
        <v>46395</v>
      </c>
      <c r="F38" s="7">
        <f t="shared" si="0"/>
        <v>1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</sheetData>
  <mergeCells count="6">
    <mergeCell ref="A25:A38"/>
    <mergeCell ref="A1:Z1"/>
    <mergeCell ref="A2:Z2"/>
    <mergeCell ref="A3:F3"/>
    <mergeCell ref="A16:A24"/>
    <mergeCell ref="A6:A15"/>
  </mergeCells>
  <conditionalFormatting sqref="G6:Z6">
    <cfRule type="expression" dxfId="6" priority="3">
      <formula>AND(G$5&lt;=$E6,(G$5+6)&gt;=$D6)</formula>
    </cfRule>
  </conditionalFormatting>
  <conditionalFormatting sqref="G7:Z14">
    <cfRule type="expression" dxfId="5" priority="7">
      <formula>AND(G$5&lt;=$E7,(G$5+6)&gt;=$D7)</formula>
    </cfRule>
  </conditionalFormatting>
  <conditionalFormatting sqref="G15:Z15">
    <cfRule type="expression" dxfId="4" priority="4">
      <formula>AND(G$5&lt;=$E15,(G$5+6)&gt;=$D15)</formula>
    </cfRule>
  </conditionalFormatting>
  <conditionalFormatting sqref="G16:Z23">
    <cfRule type="expression" dxfId="3" priority="15">
      <formula>AND(G$5&lt;=$E16,(G$5+6)&gt;=$D16)</formula>
    </cfRule>
  </conditionalFormatting>
  <conditionalFormatting sqref="G24:Z24">
    <cfRule type="expression" dxfId="2" priority="5">
      <formula>AND(G$5&lt;=$E24,(G$5+6)&gt;=$D24)</formula>
    </cfRule>
  </conditionalFormatting>
  <conditionalFormatting sqref="G25:Z37">
    <cfRule type="expression" dxfId="1" priority="23">
      <formula>AND(G$5&lt;=$E25,(G$5+6)&gt;=$D25)</formula>
    </cfRule>
  </conditionalFormatting>
  <conditionalFormatting sqref="G38:Z38">
    <cfRule type="expression" dxfId="0" priority="6">
      <formula>AND(G$5&lt;=$E38,(G$5+6)&gt;=$D38)</formula>
    </cfRule>
  </conditionalFormatting>
  <dataValidations count="1">
    <dataValidation type="list" sqref="C7:C14 C16:C21 C23:C29" xr:uid="{00000000-0002-0000-0000-000000000000}">
      <formula1>"Alexandre,Issam,Maud,Simon,All,To be defined"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Bourgueil</cp:lastModifiedBy>
  <cp:revision>0</cp:revision>
  <dcterms:created xsi:type="dcterms:W3CDTF">2026-09-14T17:12:27Z</dcterms:created>
  <dcterms:modified xsi:type="dcterms:W3CDTF">2026-10-21T14:30:36Z</dcterms:modified>
  <dc:language>en-US</dc:language>
</cp:coreProperties>
</file>