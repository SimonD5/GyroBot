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omis\Documents\Polytech\GPSE\4A\Projet\gyrobot\Remote\"/>
    </mc:Choice>
  </mc:AlternateContent>
  <xr:revisionPtr revIDLastSave="0" documentId="13_ncr:1_{55F21544-F7FC-41F1-A4F9-78F52B1E67DC}" xr6:coauthVersionLast="47" xr6:coauthVersionMax="47" xr10:uidLastSave="{00000000-0000-0000-0000-000000000000}"/>
  <bookViews>
    <workbookView xWindow="-120" yWindow="-120" windowWidth="29040" windowHeight="15720" tabRatio="500" activeTab="3" xr2:uid="{00000000-000D-0000-FFFF-FFFF00000000}"/>
  </bookViews>
  <sheets>
    <sheet name="Requirements" sheetId="1" r:id="rId1"/>
    <sheet name="Component Selection" sheetId="2" r:id="rId2"/>
    <sheet name="Radio Comparison" sheetId="3" r:id="rId3"/>
    <sheet name="Energy Balance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27" i="2" l="1"/>
  <c r="B31" i="4"/>
  <c r="B30" i="4"/>
  <c r="B25" i="4"/>
  <c r="B26" i="4" s="1"/>
  <c r="B27" i="4" s="1"/>
  <c r="B28" i="4" s="1"/>
  <c r="E20" i="4"/>
  <c r="E19" i="4"/>
  <c r="E18" i="4"/>
  <c r="E17" i="4"/>
  <c r="E16" i="4"/>
  <c r="E15" i="4"/>
  <c r="E14" i="4"/>
  <c r="F23" i="3"/>
  <c r="E23" i="3"/>
  <c r="D23" i="3"/>
  <c r="C23" i="3"/>
  <c r="B22" i="3"/>
  <c r="F10" i="3"/>
  <c r="E10" i="3"/>
  <c r="D10" i="3"/>
  <c r="C10" i="3"/>
  <c r="F9" i="3"/>
  <c r="F11" i="3" s="1"/>
  <c r="F24" i="3" s="1"/>
  <c r="E9" i="3"/>
  <c r="E11" i="3" s="1"/>
  <c r="E24" i="3" s="1"/>
  <c r="D9" i="3"/>
  <c r="D11" i="3" s="1"/>
  <c r="D24" i="3" s="1"/>
  <c r="C9" i="3"/>
  <c r="I27" i="2"/>
  <c r="K26" i="2"/>
  <c r="K25" i="2"/>
  <c r="K24" i="2"/>
  <c r="K21" i="2"/>
  <c r="K19" i="2"/>
  <c r="K16" i="2"/>
  <c r="K14" i="2"/>
  <c r="K12" i="2"/>
  <c r="K10" i="2"/>
  <c r="K9" i="2"/>
  <c r="K5" i="2"/>
  <c r="B32" i="1"/>
  <c r="B34" i="1" s="1"/>
  <c r="B30" i="1"/>
  <c r="J19" i="1"/>
  <c r="I19" i="1"/>
  <c r="H19" i="1"/>
  <c r="G19" i="1"/>
  <c r="J18" i="1"/>
  <c r="I18" i="1"/>
  <c r="H18" i="1"/>
  <c r="G18" i="1"/>
  <c r="J17" i="1"/>
  <c r="J20" i="1" s="1"/>
  <c r="B27" i="1" s="1"/>
  <c r="I17" i="1"/>
  <c r="I20" i="1" s="1"/>
  <c r="B26" i="1" s="1"/>
  <c r="H17" i="1"/>
  <c r="H20" i="1" s="1"/>
  <c r="B25" i="1" s="1"/>
  <c r="G17" i="1"/>
  <c r="G20" i="1" s="1"/>
  <c r="B24" i="1" s="1"/>
  <c r="J16" i="1"/>
  <c r="I16" i="1"/>
  <c r="H16" i="1"/>
  <c r="G16" i="1"/>
  <c r="J15" i="1"/>
  <c r="I15" i="1"/>
  <c r="H15" i="1"/>
  <c r="G15" i="1"/>
  <c r="J14" i="1"/>
  <c r="I14" i="1"/>
  <c r="H14" i="1"/>
  <c r="G14" i="1"/>
  <c r="J13" i="1"/>
  <c r="I13" i="1"/>
  <c r="H13" i="1"/>
  <c r="G13" i="1"/>
  <c r="J12" i="1"/>
  <c r="I12" i="1"/>
  <c r="H12" i="1"/>
  <c r="G12" i="1"/>
  <c r="C11" i="3" l="1"/>
  <c r="C24" i="3" s="1"/>
  <c r="B28" i="1"/>
  <c r="B29" i="1"/>
  <c r="D25" i="3" l="1"/>
  <c r="D26" i="3" s="1"/>
  <c r="F25" i="3"/>
  <c r="F26" i="3" s="1"/>
  <c r="E25" i="3"/>
  <c r="E26" i="3" s="1"/>
  <c r="C25" i="3"/>
  <c r="C26" i="3" s="1"/>
</calcChain>
</file>

<file path=xl/sharedStrings.xml><?xml version="1.0" encoding="utf-8"?>
<sst xmlns="http://schemas.openxmlformats.org/spreadsheetml/2006/main" count="289" uniqueCount="249">
  <si>
    <t>Remote control – Needs analysis (FP4)</t>
  </si>
  <si>
    <t>FP4 : the remote control must be able to pilot the robot remotely</t>
  </si>
  <si>
    <t>1. Criteria of function FP4 (from the specifications)</t>
  </si>
  <si>
    <t>Criterion</t>
  </si>
  <si>
    <t>Level</t>
  </si>
  <si>
    <t>Unit</t>
  </si>
  <si>
    <t>Source</t>
  </si>
  <si>
    <t>Minimum radio range (indoor)</t>
  </si>
  <si>
    <t>m</t>
  </si>
  <si>
    <t>Specifications : function table (FP4)</t>
  </si>
  <si>
    <t>Minimum radio range (outdoor)</t>
  </si>
  <si>
    <t>Maximum response time of the control</t>
  </si>
  <si>
    <t>ms</t>
  </si>
  <si>
    <t>2. Input/output needs of the remote control (based on the electronic diagram)</t>
  </si>
  <si>
    <t>Control element</t>
  </si>
  <si>
    <t>No. of elements</t>
  </si>
  <si>
    <t>Analog. channels / element</t>
  </si>
  <si>
    <t>Digital inputs / element</t>
  </si>
  <si>
    <t>Digital outputs / element</t>
  </si>
  <si>
    <t>I2C pins / element</t>
  </si>
  <si>
    <t>Total analog</t>
  </si>
  <si>
    <t>Total digital inputs</t>
  </si>
  <si>
    <t>Total digital outputs</t>
  </si>
  <si>
    <t>Total I2C pins</t>
  </si>
  <si>
    <t>Role on the robot (to be completed)</t>
  </si>
  <si>
    <t>2-axis joystick (KY-023)</t>
  </si>
  <si>
    <t>Joystick 1 : forward/backward (Y axis) + turn right/left (X axis) ; Joystick 2 : tilt right/left (X axis) + lower/raise (Y axis)</t>
  </si>
  <si>
    <t>Slide potentiometer</t>
  </si>
  <si>
    <t>Adjustment of the robot's 3 PID controller gains (P, I, D)</t>
  </si>
  <si>
    <t>Rotary potentiometer</t>
  </si>
  <si>
    <t>Adjustment of the maximum travel speed</t>
  </si>
  <si>
    <t>Push button</t>
  </si>
  <si>
    <t>1 button = jump ; 4 buttons = macros / screen navigation</t>
  </si>
  <si>
    <t>Signal LED</t>
  </si>
  <si>
    <t>Power-on status</t>
  </si>
  <si>
    <t>OLED screen (I2C)</t>
  </si>
  <si>
    <t>Menu navigation, communication parameter settings, robot information display (speed, battery,…)</t>
  </si>
  <si>
    <t>On / off switch</t>
  </si>
  <si>
    <t>In series with the power supply</t>
  </si>
  <si>
    <t>Digital voltmeter</t>
  </si>
  <si>
    <t>Connected to the battery</t>
  </si>
  <si>
    <t>TOTAL</t>
  </si>
  <si>
    <t>3. Summary : what the remote control must provide (microcontroller selection criteria)</t>
  </si>
  <si>
    <t>Indicator</t>
  </si>
  <si>
    <t>Value</t>
  </si>
  <si>
    <t>Comment</t>
  </si>
  <si>
    <t>Analog channels to acquire</t>
  </si>
  <si>
    <t>2 joysticks × 2 axes + 3 sliders + 1 rotary</t>
  </si>
  <si>
    <t>Digital inputs (buttons)</t>
  </si>
  <si>
    <t>5 buttons + 2 buttons integrated into the joysticks</t>
  </si>
  <si>
    <t>Digital outputs</t>
  </si>
  <si>
    <t>I2C pins (SDA + SCL)</t>
  </si>
  <si>
    <t>OLED screen</t>
  </si>
  <si>
    <t>Total GPIO pins required</t>
  </si>
  <si>
    <t>The microcontroller must provide at least this number of usable GPIOs</t>
  </si>
  <si>
    <t>Values to be transmitted per radio frame</t>
  </si>
  <si>
    <t>Analog channels + button states (to be sent to the robot)</t>
  </si>
  <si>
    <t>Minimum transmission frequency (Hz)</t>
  </si>
  <si>
    <t>At least 1 complete transmission per maximum response time</t>
  </si>
  <si>
    <t>Selected transmission frequency (Hz)</t>
  </si>
  <si>
    <t>Assumption : 50 Hz (×2.5 margin over the minimum)</t>
  </si>
  <si>
    <t>Transmission period (ms)</t>
  </si>
  <si>
    <t>Maximum delay between two frames</t>
  </si>
  <si>
    <t>Estimated radio latency + robot processing (ms)</t>
  </si>
  <si>
    <t>Assumption : ESP-NOW ≈ a few ms + robot-side reading</t>
  </si>
  <si>
    <t>Estimated response time (ms)</t>
  </si>
  <si>
    <t>Transmission period + latency</t>
  </si>
  <si>
    <t>Justification of each component with respect to function FP4 (piloting the robot remotely)</t>
  </si>
  <si>
    <t>No.</t>
  </si>
  <si>
    <t>Function performed</t>
  </si>
  <si>
    <t>Component selected</t>
  </si>
  <si>
    <t>Reference / model</t>
  </si>
  <si>
    <t>Main characteristics</t>
  </si>
  <si>
    <t>Justification of choice</t>
  </si>
  <si>
    <t>Alternatives considered</t>
  </si>
  <si>
    <t>Alternative drawbacks</t>
  </si>
  <si>
    <t>Qty</t>
  </si>
  <si>
    <t>Unit price (€)</t>
  </si>
  <si>
    <t>Total price (€)</t>
  </si>
  <si>
    <t>Command processing (acquisition, computation, screen interface)</t>
  </si>
  <si>
    <t>Microcontroller</t>
  </si>
  <si>
    <t>ESP32-S3-DevKitC-1-N16R8</t>
  </si>
  <si>
    <t>Dual-core Xtensa LX7 240 MHz · 16 MB Flash + 8 MB PSRAM, 3.3 V logic supply, many GPIOs including 10 channels usable on ADC1</t>
  </si>
  <si>
    <t>Enough GPIOs and ADC1 channels for the 18 pins required (see sheet « Requirements »).</t>
  </si>
  <si>
    <t>Arduino Nano</t>
  </si>
  <si>
    <t>No built-in radio, little memory, fewer ADC inputs</t>
  </si>
  <si>
    <t>ESP32-S3 version N8R2/N8R8</t>
  </si>
  <si>
    <t>Less Flash/PSRAM, lower memory margin</t>
  </si>
  <si>
    <t>STM32</t>
  </si>
  <si>
    <t>More processing power but radio and Wi-Fi must be added as an external module</t>
  </si>
  <si>
    <t>Radio link control → robot</t>
  </si>
  <si>
    <t>Communication protocol</t>
  </si>
  <si>
    <t>ESP-NOW (2.4 GHz Wi-Fi, native on the ESP32-S3)</t>
  </si>
  <si>
    <t>Typical latency of a few ms, potential range with this board : &gt; 200 m outdoor with no obstacles, &gt; 100 m outdoor with obstacles, &gt; 20 m indoor</t>
  </si>
  <si>
    <t>Latency compatible with the required response time (&lt; 50 ms). Built into the ESP32-S3 : no external radio module to wire.</t>
  </si>
  <si>
    <t>Detailed comparison against other solutions in the sheet « Radio Comparison ».</t>
  </si>
  <si>
    <t>Proportional control of movement and orientation</t>
  </si>
  <si>
    <t>2-axis joystick</t>
  </si>
  <si>
    <t>Module KY-023</t>
  </si>
  <si>
    <t>2 10 kΩ potentiometers (X and Y axes) + built-in push button, 3.3-5 V supply</t>
  </si>
  <si>
    <t>Proportional analog signal. Joystick 1 = forward/backward (Y axis) and turn right/left (X axis) ; Joystick 2 = tilt right/left (X axis) and lower/raise (Y axis).</t>
  </si>
  <si>
    <t>Directional buttons</t>
  </si>
  <si>
    <t>On/off only, no gradual control</t>
  </si>
  <si>
    <t>Proportional adjustment of the controller gains</t>
  </si>
  <si>
    <t>Linear slide potentiometer</t>
  </si>
  <si>
    <t>10 kΩ linear resistive track, 3 pins</t>
  </si>
  <si>
    <t>PID position readable at a glance, gradual and precise adjustment, 1 analog channel each.</t>
  </si>
  <si>
    <t>Less readable</t>
  </si>
  <si>
    <t>Incremental encoder</t>
  </si>
  <si>
    <t xml:space="preserve">More connectors used per value to change </t>
  </si>
  <si>
    <t>Speed adjustment</t>
  </si>
  <si>
    <t>VRB-101M10</t>
  </si>
  <si>
    <t>10 kΩ, 3 pins</t>
  </si>
  <si>
    <t>Gradual and compact adjustment, easy to read for speed</t>
  </si>
  <si>
    <t>Bulkier and less readable</t>
  </si>
  <si>
    <t>Rotary encoder</t>
  </si>
  <si>
    <t>No physical stop, more connectors used</t>
  </si>
  <si>
    <t>On/off commands and macros</t>
  </si>
  <si>
    <t>BP-GT1-ON</t>
  </si>
  <si>
    <t>Momentary open contact, read with the ESP32's internal pull-up/pull-down</t>
  </si>
  <si>
    <t>Simple, reliable, low-cost, 1 digital input each, with no additional external component.</t>
  </si>
  <si>
    <t>Toggle switch</t>
  </si>
  <si>
    <t>Does not natively return to its initial position</t>
  </si>
  <si>
    <t>Touchscreen</t>
  </si>
  <si>
    <t>Less ergonomic for handling and teleguidance</t>
  </si>
  <si>
    <t>Feedback and navigation for the operator</t>
  </si>
  <si>
    <t>OLED screen 0.96"</t>
  </si>
  <si>
    <t>Module SSD1306 128*64, I2C</t>
  </si>
  <si>
    <t>0.96", 128×64 px, 4-wire I2C bus (2 GPIO pins : SDA/SCL)</t>
  </si>
  <si>
    <t>No. of pins : only 2 GPIO pins (I2C). Size : 0.96" compact, fits easily into the remote control's housing while remaining readable. Ease of use : well-documented libraries</t>
  </si>
  <si>
    <t>LCD display 16×2 I2C</t>
  </si>
  <si>
    <t>Same number of pins but lower resolution and readability</t>
  </si>
  <si>
    <t>TFT SPI screen</t>
  </si>
  <si>
    <t>Larger and in color but ≈ 5 pins, more expensive, higher current draw</t>
  </si>
  <si>
    <t xml:space="preserve">OLED 1.3" </t>
  </si>
  <si>
    <t>More readable but slightly more expensive and bulkier on the remote control</t>
  </si>
  <si>
    <t>Status signaling</t>
  </si>
  <si>
    <t>LED</t>
  </si>
  <si>
    <t xml:space="preserve">LED 5 mm </t>
  </si>
  <si>
    <t>Immediate power-on indication, negligible cost.</t>
  </si>
  <si>
    <t>RGB LED</t>
  </si>
  <si>
    <t>Mandatory pin on the ESP32</t>
  </si>
  <si>
    <t>Information displayed only on the OLED</t>
  </si>
  <si>
    <t>Harder to diagnose the source of a fault if the screen is not working</t>
  </si>
  <si>
    <t>Autonomous power supply</t>
  </si>
  <si>
    <t>LiPo battery</t>
  </si>
  <si>
    <t>2S 500 mAh LiPo battery</t>
  </si>
  <si>
    <t>2S (7.4 V nominal), 500 mAh, JST connector</t>
  </si>
  <si>
    <t xml:space="preserve">Battery life : 500 mAh capacity sufficient for one session of use (battery life estimated in the sheet « Energy Balance »). Size / weight : compact and lightweight, suited to a hand-held remote control. </t>
  </si>
  <si>
    <t>Higher-capacity 2S LiPo</t>
  </si>
  <si>
    <t>Increased battery life but heavier and bulkier</t>
  </si>
  <si>
    <t xml:space="preserve"> LiPo 1S</t>
  </si>
  <si>
    <t>Lighter but voltage too low, would require a boost converter</t>
  </si>
  <si>
    <t>rechargeable AA batteries</t>
  </si>
  <si>
    <t>Heavier, voltage drops during discharge</t>
  </si>
  <si>
    <t>Supply voltage adaptation</t>
  </si>
  <si>
    <t>DC-DC step-down converter</t>
  </si>
  <si>
    <t>Adjustable LM2596 module</t>
  </si>
  <si>
    <t>Converts the variable LiPo voltage into a stable 5 V for the ESP. Largely oversized for the power consumption (see sheet « Energy Balance »).</t>
  </si>
  <si>
    <t>LM7805</t>
  </si>
  <si>
    <t>Lower efficiency, heat losses</t>
  </si>
  <si>
    <t>Battery monitoring</t>
  </si>
  <si>
    <t>3-digit DC voltmeter</t>
  </si>
  <si>
    <t>Typical range ≈ 3-10 V, 3-digit LED display, powered by the measured voltage</t>
  </si>
  <si>
    <t>Immediate reading of the charge state, without using an analog input connected to the microcontroller.</t>
  </si>
  <si>
    <t>Voltage divider + ESP32 ADC, displayed on the OLED</t>
  </si>
  <si>
    <t>On / off</t>
  </si>
  <si>
    <t>Lever switch</t>
  </si>
  <si>
    <t>Rating higher than the circuit current (≈ 0.2 A)</t>
  </si>
  <si>
    <t>Real power cut-off, no GPIO pin required, simple to operate.</t>
  </si>
  <si>
    <t>Unplug the battery</t>
  </si>
  <si>
    <t>Less ergonomic</t>
  </si>
  <si>
    <t>Remote control – Comparison of radio / microcontroller solutions</t>
  </si>
  <si>
    <t>Choice of the wireless link solution (FP4 elimination criteria, then weighted scoring)</t>
  </si>
  <si>
    <t>A. Solutions considered with typical orders of magnitude and compliance with FP4</t>
  </si>
  <si>
    <t>ESP32-S3 + ESP-NOW</t>
  </si>
  <si>
    <t>Arduino Nano + nRF24L01 (PA/LNA)</t>
  </si>
  <si>
    <t>Arduino + LoRa (SX1278)</t>
  </si>
  <si>
    <t>Bluetooth module HC-05</t>
  </si>
  <si>
    <t>Frequency band</t>
  </si>
  <si>
    <t>2.4 GHz</t>
  </si>
  <si>
    <t>433 / 868 MHz</t>
  </si>
  <si>
    <t>Typical outdoor range (direct line of sight)</t>
  </si>
  <si>
    <t>Typical link latency</t>
  </si>
  <si>
    <t>Meets the FP4 outdoor range ?</t>
  </si>
  <si>
    <t>Meets the FP4 response time ?</t>
  </si>
  <si>
    <t>Compliant with function FP4 ?</t>
  </si>
  <si>
    <t>B. Weighted scoring (0 = very unfavorable … 5 = very favorable) – indicative scores to be adjusted</t>
  </si>
  <si>
    <t>Weight</t>
  </si>
  <si>
    <t>Outdoor range</t>
  </si>
  <si>
    <t>Latency / responsiveness</t>
  </si>
  <si>
    <t>Number of I/Os and analog channels</t>
  </si>
  <si>
    <t>Ease of implementation (wiring, code)</t>
  </si>
  <si>
    <t>Cost</t>
  </si>
  <si>
    <t>Power consumption</t>
  </si>
  <si>
    <t>Integration / size</t>
  </si>
  <si>
    <t>Total weight (must equal 100 %)</t>
  </si>
  <si>
    <t>Score out of 20</t>
  </si>
  <si>
    <t>Score retained (0 if not compliant with FP4)</t>
  </si>
  <si>
    <t>Rank</t>
  </si>
  <si>
    <t>Decision</t>
  </si>
  <si>
    <t>Remote control – Energy balance and battery life</t>
  </si>
  <si>
    <t>Justifies the choice of the LiPo battery and the LM2596 converter</t>
  </si>
  <si>
    <t>1. Power supply parameters</t>
  </si>
  <si>
    <t>Parameter</t>
  </si>
  <si>
    <t>Nominal battery voltage (V)</t>
  </si>
  <si>
    <t>Battery selected : 2S LiPo (7.4 V nominal)</t>
  </si>
  <si>
    <t>Battery capacity (mAh)</t>
  </si>
  <si>
    <t>Battery selected : 2S 500 mAh LiPo</t>
  </si>
  <si>
    <t>Usable capacity fraction</t>
  </si>
  <si>
    <t>Assumption : 80 % (to avoid fully discharging the battery)</t>
  </si>
  <si>
    <t>LM2596 output voltage (V)</t>
  </si>
  <si>
    <t>Set to 5 V to power the ESP32 board</t>
  </si>
  <si>
    <t>Converter efficiency</t>
  </si>
  <si>
    <t>Assumption : 85 % (typical 80–90 % for an LM2596)</t>
  </si>
  <si>
    <t>2. Element power consumption</t>
  </si>
  <si>
    <t>Element</t>
  </si>
  <si>
    <t>Unit current (mA)</t>
  </si>
  <si>
    <t>Powered by</t>
  </si>
  <si>
    <t>Total current (mA)</t>
  </si>
  <si>
    <t>Assumption / source</t>
  </si>
  <si>
    <t>ESP32-S3 (ESP-NOW transmission)</t>
  </si>
  <si>
    <t>5 V rail</t>
  </si>
  <si>
    <t>Average during Wi-Fi transmission -&gt; higher peaks</t>
  </si>
  <si>
    <t>OLED screen 0.96" SSD1306</t>
  </si>
  <si>
    <t>Screen on and changing image at 2Hz</t>
  </si>
  <si>
    <t>Joystick KY-023</t>
  </si>
  <si>
    <t>2 10 kΩ potentiometers at 3.3 V ≈ 0.7 mA</t>
  </si>
  <si>
    <t>10 kΩ at 3.3 V ≈ 0.33 mA</t>
  </si>
  <si>
    <t>LED permanently on</t>
  </si>
  <si>
    <t>5V rail</t>
  </si>
  <si>
    <t>Connected to the output of the 7.4V-&gt;5V converter</t>
  </si>
  <si>
    <t>3. Results</t>
  </si>
  <si>
    <t>Total current on the 5 V rail (mA)</t>
  </si>
  <si>
    <t>Sum of the elements powered by the converter</t>
  </si>
  <si>
    <t>Power on the 5 V rail (mW)</t>
  </si>
  <si>
    <t>P = U * I</t>
  </si>
  <si>
    <t>Current drawn from the battery (mA)</t>
  </si>
  <si>
    <t>Rail power referred back to the battery (efficiency included)</t>
  </si>
  <si>
    <t>Estimated battery life (h)</t>
  </si>
  <si>
    <t>Usable capacity / current drawn</t>
  </si>
  <si>
    <t>Max. LM2596 current (mA)</t>
  </si>
  <si>
    <t>Manufacturer value : 3 A</t>
  </si>
  <si>
    <t>Voltage margin Vbattery − Voutput (V)</t>
  </si>
  <si>
    <t>The LM2596 requires a minimum input difference of about 2 V</t>
  </si>
  <si>
    <t>Sufficient voltage margin ?</t>
  </si>
  <si>
    <t>To be checked when the battery is discharged</t>
  </si>
  <si>
    <t>Remote control - Component selection</t>
  </si>
  <si>
    <t>Input 4-40 V, adjustable output 1.25-35 V, 3 A max, efficiency ≈ 80-90 %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</si>
</sst>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0&quot; €&quot;"/>
  </numFmts>
  <fonts count="10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b/>
      <sz val="10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sz val="10"/>
      <color rgb="FF0000FF"/>
      <name val="Arial"/>
      <charset val="1"/>
    </font>
    <font>
      <sz val="10"/>
      <color rgb="FF008000"/>
      <name val="Arial"/>
      <charset val="1"/>
    </font>
    <font>
      <i/>
      <sz val="9"/>
      <color rgb="FF595959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F2F2F2"/>
      </patternFill>
    </fill>
    <fill>
      <patternFill patternType="solid">
        <fgColor rgb="FF1F3864"/>
        <bgColor rgb="FF333333"/>
      </patternFill>
    </fill>
    <fill>
      <patternFill patternType="solid">
        <fgColor theme="0"/>
        <bgColor rgb="FFF2F2F2"/>
      </patternFill>
    </fill>
    <fill>
      <patternFill patternType="solid">
        <fgColor rgb="FFF2F2F2"/>
        <bgColor rgb="FFFFFFFF"/>
      </patternFill>
    </fill>
  </fills>
  <borders count="10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auto="1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</borders>
  <cellStyleXfs count="1">
    <xf numFmtId="0" fontId="0" fillId="0" borderId="0"/>
  </cellStyleXfs>
  <cellXfs count="70">
    <xf numFmtId="0" fontId="0" fillId="0" borderId="0" xfId="0"/>
    <xf numFmtId="165" fontId="4" fillId="0" borderId="1" xfId="0" applyNumberFormat="1" applyFont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4" borderId="0" xfId="0" applyFont="1" applyFill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" fontId="5" fillId="4" borderId="1" xfId="0" applyNumberFormat="1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1" fontId="5" fillId="4" borderId="2" xfId="0" applyNumberFormat="1" applyFont="1" applyFill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164" fontId="5" fillId="0" borderId="3" xfId="0" applyNumberFormat="1" applyFont="1" applyBorder="1" applyAlignment="1">
      <alignment horizontal="center" vertical="center" wrapText="1"/>
    </xf>
    <xf numFmtId="0" fontId="4" fillId="4" borderId="0" xfId="0" applyFont="1" applyFill="1" applyAlignment="1">
      <alignment vertical="center" wrapText="1"/>
    </xf>
    <xf numFmtId="0" fontId="4" fillId="4" borderId="0" xfId="0" applyFont="1" applyFill="1" applyAlignment="1">
      <alignment horizontal="center" vertical="center" wrapText="1"/>
    </xf>
    <xf numFmtId="1" fontId="7" fillId="4" borderId="0" xfId="0" applyNumberFormat="1" applyFont="1" applyFill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7" fillId="0" borderId="5" xfId="0" applyFont="1" applyBorder="1" applyAlignment="1">
      <alignment horizontal="center" vertical="center" wrapText="1"/>
    </xf>
    <xf numFmtId="165" fontId="7" fillId="4" borderId="1" xfId="0" applyNumberFormat="1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165" fontId="2" fillId="5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5" fillId="4" borderId="1" xfId="0" applyNumberFormat="1" applyFont="1" applyFill="1" applyBorder="1" applyAlignment="1">
      <alignment horizontal="center" vertical="center" wrapText="1"/>
    </xf>
    <xf numFmtId="9" fontId="2" fillId="5" borderId="1" xfId="0" applyNumberFormat="1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center" vertical="center" wrapText="1"/>
    </xf>
    <xf numFmtId="3" fontId="5" fillId="4" borderId="1" xfId="0" applyNumberFormat="1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/>
    </xf>
    <xf numFmtId="0" fontId="9" fillId="0" borderId="0" xfId="0" applyFont="1" applyAlignment="1">
      <alignment vertical="top" wrapText="1"/>
    </xf>
    <xf numFmtId="0" fontId="1" fillId="0" borderId="0" xfId="0" applyFont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8"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006100"/>
        <name val="Arial"/>
        <charset val="1"/>
      </font>
      <fill>
        <patternFill>
          <bgColor rgb="FFC6EFCE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006100"/>
        <name val="Arial"/>
        <charset val="1"/>
      </font>
      <fill>
        <patternFill>
          <bgColor rgb="FFC6EFCE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006100"/>
        <name val="Arial"/>
        <charset val="1"/>
      </font>
      <fill>
        <patternFill>
          <bgColor rgb="FFC6EFCE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61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7"/>
  <sheetViews>
    <sheetView showGridLines="0" zoomScaleNormal="100" workbookViewId="0">
      <pane ySplit="3" topLeftCell="A17" activePane="bottomLeft" state="frozen"/>
      <selection pane="bottomLeft" activeCell="B28" sqref="B28"/>
    </sheetView>
  </sheetViews>
  <sheetFormatPr baseColWidth="10" defaultColWidth="8.7109375" defaultRowHeight="15" x14ac:dyDescent="0.25"/>
  <cols>
    <col min="1" max="1" width="38" customWidth="1"/>
    <col min="2" max="2" width="12" customWidth="1"/>
    <col min="3" max="3" width="13.42578125" customWidth="1"/>
    <col min="4" max="6" width="14" customWidth="1"/>
    <col min="7" max="10" width="13" customWidth="1"/>
    <col min="11" max="11" width="40" customWidth="1"/>
  </cols>
  <sheetData>
    <row r="1" spans="1:11" ht="17.25" customHeight="1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5" customHeight="1" x14ac:dyDescent="0.25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</row>
    <row r="4" spans="1:11" ht="19.5" customHeight="1" x14ac:dyDescent="0.25">
      <c r="A4" s="12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</row>
    <row r="5" spans="1:11" ht="31.5" customHeight="1" x14ac:dyDescent="0.25">
      <c r="A5" s="15" t="s">
        <v>3</v>
      </c>
      <c r="B5" s="15" t="s">
        <v>4</v>
      </c>
      <c r="C5" s="15" t="s">
        <v>5</v>
      </c>
      <c r="D5" s="11" t="s">
        <v>6</v>
      </c>
      <c r="E5" s="11"/>
      <c r="F5" s="11"/>
      <c r="G5" s="11"/>
      <c r="H5" s="11"/>
      <c r="I5" s="11"/>
      <c r="J5" s="11"/>
      <c r="K5" s="11"/>
    </row>
    <row r="6" spans="1:11" ht="15" customHeight="1" x14ac:dyDescent="0.25">
      <c r="A6" s="16" t="s">
        <v>7</v>
      </c>
      <c r="B6" s="17">
        <v>30</v>
      </c>
      <c r="C6" s="17" t="s">
        <v>8</v>
      </c>
      <c r="D6" s="10" t="s">
        <v>9</v>
      </c>
      <c r="E6" s="10"/>
      <c r="F6" s="10"/>
      <c r="G6" s="10"/>
      <c r="H6" s="10"/>
      <c r="I6" s="10"/>
      <c r="J6" s="10"/>
      <c r="K6" s="10"/>
    </row>
    <row r="7" spans="1:11" ht="15" customHeight="1" x14ac:dyDescent="0.25">
      <c r="A7" s="16" t="s">
        <v>10</v>
      </c>
      <c r="B7" s="17">
        <v>150</v>
      </c>
      <c r="C7" s="17" t="s">
        <v>8</v>
      </c>
      <c r="D7" s="10" t="s">
        <v>9</v>
      </c>
      <c r="E7" s="10"/>
      <c r="F7" s="10"/>
      <c r="G7" s="10"/>
      <c r="H7" s="10"/>
      <c r="I7" s="10"/>
      <c r="J7" s="10"/>
      <c r="K7" s="10"/>
    </row>
    <row r="8" spans="1:11" ht="25.5" customHeight="1" x14ac:dyDescent="0.25">
      <c r="A8" s="16" t="s">
        <v>11</v>
      </c>
      <c r="B8" s="17">
        <v>50</v>
      </c>
      <c r="C8" s="17" t="s">
        <v>12</v>
      </c>
      <c r="D8" s="10" t="s">
        <v>9</v>
      </c>
      <c r="E8" s="10"/>
      <c r="F8" s="10"/>
      <c r="G8" s="10"/>
      <c r="H8" s="10"/>
      <c r="I8" s="10"/>
      <c r="J8" s="10"/>
      <c r="K8" s="10"/>
    </row>
    <row r="10" spans="1:11" ht="19.5" customHeight="1" x14ac:dyDescent="0.25">
      <c r="A10" s="12" t="s">
        <v>13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</row>
    <row r="11" spans="1:11" ht="43.5" customHeight="1" x14ac:dyDescent="0.25">
      <c r="A11" s="15" t="s">
        <v>14</v>
      </c>
      <c r="B11" s="15" t="s">
        <v>15</v>
      </c>
      <c r="C11" s="15" t="s">
        <v>16</v>
      </c>
      <c r="D11" s="15" t="s">
        <v>17</v>
      </c>
      <c r="E11" s="15" t="s">
        <v>18</v>
      </c>
      <c r="F11" s="15" t="s">
        <v>19</v>
      </c>
      <c r="G11" s="15" t="s">
        <v>20</v>
      </c>
      <c r="H11" s="15" t="s">
        <v>21</v>
      </c>
      <c r="I11" s="15" t="s">
        <v>22</v>
      </c>
      <c r="J11" s="15" t="s">
        <v>23</v>
      </c>
      <c r="K11" s="15" t="s">
        <v>24</v>
      </c>
    </row>
    <row r="12" spans="1:11" ht="51" customHeight="1" x14ac:dyDescent="0.25">
      <c r="A12" s="16" t="s">
        <v>25</v>
      </c>
      <c r="B12" s="18">
        <v>2</v>
      </c>
      <c r="C12" s="18">
        <v>2</v>
      </c>
      <c r="D12" s="18">
        <v>1</v>
      </c>
      <c r="E12" s="18">
        <v>0</v>
      </c>
      <c r="F12" s="18">
        <v>0</v>
      </c>
      <c r="G12" s="17">
        <f t="shared" ref="G12:J19" si="0">$B12*C12</f>
        <v>4</v>
      </c>
      <c r="H12" s="17">
        <f t="shared" si="0"/>
        <v>2</v>
      </c>
      <c r="I12" s="17">
        <f t="shared" si="0"/>
        <v>0</v>
      </c>
      <c r="J12" s="17">
        <f t="shared" si="0"/>
        <v>0</v>
      </c>
      <c r="K12" s="19" t="s">
        <v>26</v>
      </c>
    </row>
    <row r="13" spans="1:11" ht="25.5" customHeight="1" x14ac:dyDescent="0.25">
      <c r="A13" s="16" t="s">
        <v>27</v>
      </c>
      <c r="B13" s="18">
        <v>3</v>
      </c>
      <c r="C13" s="18">
        <v>1</v>
      </c>
      <c r="D13" s="18">
        <v>0</v>
      </c>
      <c r="E13" s="18">
        <v>0</v>
      </c>
      <c r="F13" s="18">
        <v>0</v>
      </c>
      <c r="G13" s="17">
        <f t="shared" si="0"/>
        <v>3</v>
      </c>
      <c r="H13" s="17">
        <f t="shared" si="0"/>
        <v>0</v>
      </c>
      <c r="I13" s="17">
        <f t="shared" si="0"/>
        <v>0</v>
      </c>
      <c r="J13" s="17">
        <f t="shared" si="0"/>
        <v>0</v>
      </c>
      <c r="K13" s="19" t="s">
        <v>28</v>
      </c>
    </row>
    <row r="14" spans="1:11" ht="25.5" customHeight="1" x14ac:dyDescent="0.25">
      <c r="A14" s="16" t="s">
        <v>29</v>
      </c>
      <c r="B14" s="18">
        <v>1</v>
      </c>
      <c r="C14" s="18">
        <v>1</v>
      </c>
      <c r="D14" s="18">
        <v>0</v>
      </c>
      <c r="E14" s="18">
        <v>0</v>
      </c>
      <c r="F14" s="18">
        <v>0</v>
      </c>
      <c r="G14" s="17">
        <f t="shared" si="0"/>
        <v>1</v>
      </c>
      <c r="H14" s="17">
        <f t="shared" si="0"/>
        <v>0</v>
      </c>
      <c r="I14" s="17">
        <f t="shared" si="0"/>
        <v>0</v>
      </c>
      <c r="J14" s="17">
        <f t="shared" si="0"/>
        <v>0</v>
      </c>
      <c r="K14" s="19" t="s">
        <v>30</v>
      </c>
    </row>
    <row r="15" spans="1:11" ht="25.5" customHeight="1" x14ac:dyDescent="0.25">
      <c r="A15" s="16" t="s">
        <v>31</v>
      </c>
      <c r="B15" s="18">
        <v>5</v>
      </c>
      <c r="C15" s="18">
        <v>0</v>
      </c>
      <c r="D15" s="18">
        <v>1</v>
      </c>
      <c r="E15" s="18">
        <v>0</v>
      </c>
      <c r="F15" s="18">
        <v>0</v>
      </c>
      <c r="G15" s="17">
        <f t="shared" si="0"/>
        <v>0</v>
      </c>
      <c r="H15" s="17">
        <f t="shared" si="0"/>
        <v>5</v>
      </c>
      <c r="I15" s="17">
        <f t="shared" si="0"/>
        <v>0</v>
      </c>
      <c r="J15" s="17">
        <f t="shared" si="0"/>
        <v>0</v>
      </c>
      <c r="K15" s="19" t="s">
        <v>32</v>
      </c>
    </row>
    <row r="16" spans="1:11" x14ac:dyDescent="0.25">
      <c r="A16" s="16" t="s">
        <v>33</v>
      </c>
      <c r="B16" s="18">
        <v>1</v>
      </c>
      <c r="C16" s="18">
        <v>0</v>
      </c>
      <c r="D16" s="18">
        <v>0</v>
      </c>
      <c r="E16" s="18">
        <v>1</v>
      </c>
      <c r="F16" s="18">
        <v>0</v>
      </c>
      <c r="G16" s="17">
        <f t="shared" si="0"/>
        <v>0</v>
      </c>
      <c r="H16" s="17">
        <f t="shared" si="0"/>
        <v>0</v>
      </c>
      <c r="I16" s="17">
        <f t="shared" si="0"/>
        <v>1</v>
      </c>
      <c r="J16" s="17">
        <f t="shared" si="0"/>
        <v>0</v>
      </c>
      <c r="K16" s="19" t="s">
        <v>34</v>
      </c>
    </row>
    <row r="17" spans="1:11" ht="38.25" customHeight="1" x14ac:dyDescent="0.25">
      <c r="A17" s="16" t="s">
        <v>35</v>
      </c>
      <c r="B17" s="18">
        <v>1</v>
      </c>
      <c r="C17" s="18">
        <v>0</v>
      </c>
      <c r="D17" s="18">
        <v>0</v>
      </c>
      <c r="E17" s="18">
        <v>0</v>
      </c>
      <c r="F17" s="18">
        <v>2</v>
      </c>
      <c r="G17" s="17">
        <f t="shared" si="0"/>
        <v>0</v>
      </c>
      <c r="H17" s="17">
        <f t="shared" si="0"/>
        <v>0</v>
      </c>
      <c r="I17" s="17">
        <f t="shared" si="0"/>
        <v>0</v>
      </c>
      <c r="J17" s="17">
        <f t="shared" si="0"/>
        <v>2</v>
      </c>
      <c r="K17" s="19" t="s">
        <v>36</v>
      </c>
    </row>
    <row r="18" spans="1:11" x14ac:dyDescent="0.25">
      <c r="A18" s="16" t="s">
        <v>37</v>
      </c>
      <c r="B18" s="18">
        <v>1</v>
      </c>
      <c r="C18" s="18">
        <v>0</v>
      </c>
      <c r="D18" s="18">
        <v>0</v>
      </c>
      <c r="E18" s="18">
        <v>0</v>
      </c>
      <c r="F18" s="18">
        <v>0</v>
      </c>
      <c r="G18" s="17">
        <f t="shared" si="0"/>
        <v>0</v>
      </c>
      <c r="H18" s="17">
        <f t="shared" si="0"/>
        <v>0</v>
      </c>
      <c r="I18" s="17">
        <f t="shared" si="0"/>
        <v>0</v>
      </c>
      <c r="J18" s="17">
        <f t="shared" si="0"/>
        <v>0</v>
      </c>
      <c r="K18" s="19" t="s">
        <v>38</v>
      </c>
    </row>
    <row r="19" spans="1:11" x14ac:dyDescent="0.25">
      <c r="A19" s="16" t="s">
        <v>39</v>
      </c>
      <c r="B19" s="18">
        <v>1</v>
      </c>
      <c r="C19" s="18">
        <v>0</v>
      </c>
      <c r="D19" s="18">
        <v>0</v>
      </c>
      <c r="E19" s="18">
        <v>0</v>
      </c>
      <c r="F19" s="18">
        <v>0</v>
      </c>
      <c r="G19" s="17">
        <f t="shared" si="0"/>
        <v>0</v>
      </c>
      <c r="H19" s="17">
        <f t="shared" si="0"/>
        <v>0</v>
      </c>
      <c r="I19" s="17">
        <f t="shared" si="0"/>
        <v>0</v>
      </c>
      <c r="J19" s="17">
        <f t="shared" si="0"/>
        <v>0</v>
      </c>
      <c r="K19" s="19" t="s">
        <v>40</v>
      </c>
    </row>
    <row r="20" spans="1:11" ht="15" customHeight="1" x14ac:dyDescent="0.25">
      <c r="A20" s="20" t="s">
        <v>41</v>
      </c>
      <c r="B20" s="21"/>
      <c r="C20" s="21"/>
      <c r="D20" s="21"/>
      <c r="E20" s="21"/>
      <c r="F20" s="21"/>
      <c r="G20" s="22">
        <f>SUM(G12:G19)</f>
        <v>8</v>
      </c>
      <c r="H20" s="22">
        <f>SUM(H12:H19)</f>
        <v>7</v>
      </c>
      <c r="I20" s="22">
        <f>SUM(I12:I19)</f>
        <v>1</v>
      </c>
      <c r="J20" s="22">
        <f>SUM(J12:J19)</f>
        <v>2</v>
      </c>
      <c r="K20" s="21"/>
    </row>
    <row r="22" spans="1:11" ht="19.5" customHeight="1" x14ac:dyDescent="0.25">
      <c r="A22" s="12" t="s">
        <v>42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</row>
    <row r="23" spans="1:11" ht="31.5" customHeight="1" x14ac:dyDescent="0.25">
      <c r="A23" s="15" t="s">
        <v>43</v>
      </c>
      <c r="B23" s="15" t="s">
        <v>44</v>
      </c>
      <c r="C23" s="11" t="s">
        <v>45</v>
      </c>
      <c r="D23" s="11"/>
      <c r="E23" s="11"/>
      <c r="F23" s="11"/>
      <c r="G23" s="11"/>
      <c r="H23" s="11"/>
      <c r="I23" s="11"/>
      <c r="J23" s="11"/>
      <c r="K23" s="11"/>
    </row>
    <row r="24" spans="1:11" ht="18" customHeight="1" x14ac:dyDescent="0.25">
      <c r="A24" s="16" t="s">
        <v>46</v>
      </c>
      <c r="B24" s="18">
        <f>G20</f>
        <v>8</v>
      </c>
      <c r="C24" s="9" t="s">
        <v>47</v>
      </c>
      <c r="D24" s="9"/>
      <c r="E24" s="9"/>
      <c r="F24" s="9"/>
      <c r="G24" s="9"/>
      <c r="H24" s="9"/>
      <c r="I24" s="9"/>
      <c r="J24" s="9"/>
      <c r="K24" s="9"/>
    </row>
    <row r="25" spans="1:11" ht="18" customHeight="1" x14ac:dyDescent="0.25">
      <c r="A25" s="16" t="s">
        <v>48</v>
      </c>
      <c r="B25" s="18">
        <f>H20</f>
        <v>7</v>
      </c>
      <c r="C25" s="9" t="s">
        <v>49</v>
      </c>
      <c r="D25" s="9"/>
      <c r="E25" s="9"/>
      <c r="F25" s="9"/>
      <c r="G25" s="9"/>
      <c r="H25" s="9"/>
      <c r="I25" s="9"/>
      <c r="J25" s="9"/>
      <c r="K25" s="9"/>
    </row>
    <row r="26" spans="1:11" ht="18" customHeight="1" x14ac:dyDescent="0.25">
      <c r="A26" s="16" t="s">
        <v>50</v>
      </c>
      <c r="B26" s="18">
        <f>I20</f>
        <v>1</v>
      </c>
      <c r="C26" s="9" t="s">
        <v>33</v>
      </c>
      <c r="D26" s="9"/>
      <c r="E26" s="9"/>
      <c r="F26" s="9"/>
      <c r="G26" s="9"/>
      <c r="H26" s="9"/>
      <c r="I26" s="9"/>
      <c r="J26" s="9"/>
      <c r="K26" s="9"/>
    </row>
    <row r="27" spans="1:11" ht="18" customHeight="1" x14ac:dyDescent="0.25">
      <c r="A27" s="16" t="s">
        <v>51</v>
      </c>
      <c r="B27" s="18">
        <f>J20</f>
        <v>2</v>
      </c>
      <c r="C27" s="9" t="s">
        <v>52</v>
      </c>
      <c r="D27" s="9"/>
      <c r="E27" s="9"/>
      <c r="F27" s="9"/>
      <c r="G27" s="9"/>
      <c r="H27" s="9"/>
      <c r="I27" s="9"/>
      <c r="J27" s="9"/>
      <c r="K27" s="9"/>
    </row>
    <row r="28" spans="1:11" ht="18" customHeight="1" x14ac:dyDescent="0.25">
      <c r="A28" s="16" t="s">
        <v>53</v>
      </c>
      <c r="B28" s="23">
        <f>SUM(B24:B27)</f>
        <v>18</v>
      </c>
      <c r="C28" s="9" t="s">
        <v>54</v>
      </c>
      <c r="D28" s="9"/>
      <c r="E28" s="9"/>
      <c r="F28" s="9"/>
      <c r="G28" s="9"/>
      <c r="H28" s="9"/>
      <c r="I28" s="9"/>
      <c r="J28" s="9"/>
      <c r="K28" s="9"/>
    </row>
    <row r="29" spans="1:11" ht="18" customHeight="1" x14ac:dyDescent="0.25">
      <c r="A29" s="16" t="s">
        <v>55</v>
      </c>
      <c r="B29" s="18">
        <f>B24+B25</f>
        <v>15</v>
      </c>
      <c r="C29" s="9" t="s">
        <v>56</v>
      </c>
      <c r="D29" s="9"/>
      <c r="E29" s="9"/>
      <c r="F29" s="9"/>
      <c r="G29" s="9"/>
      <c r="H29" s="9"/>
      <c r="I29" s="9"/>
      <c r="J29" s="9"/>
      <c r="K29" s="9"/>
    </row>
    <row r="30" spans="1:11" ht="18" customHeight="1" x14ac:dyDescent="0.25">
      <c r="A30" s="16" t="s">
        <v>57</v>
      </c>
      <c r="B30" s="24">
        <f>1/(50*10^(-3))</f>
        <v>20</v>
      </c>
      <c r="C30" s="9" t="s">
        <v>58</v>
      </c>
      <c r="D30" s="9"/>
      <c r="E30" s="9"/>
      <c r="F30" s="9"/>
      <c r="G30" s="9"/>
      <c r="H30" s="9"/>
      <c r="I30" s="9"/>
      <c r="J30" s="9"/>
      <c r="K30" s="9"/>
    </row>
    <row r="31" spans="1:11" ht="18" customHeight="1" x14ac:dyDescent="0.25">
      <c r="A31" s="16" t="s">
        <v>59</v>
      </c>
      <c r="B31" s="25">
        <v>50</v>
      </c>
      <c r="C31" s="9" t="s">
        <v>60</v>
      </c>
      <c r="D31" s="9"/>
      <c r="E31" s="9"/>
      <c r="F31" s="9"/>
      <c r="G31" s="9"/>
      <c r="H31" s="9"/>
      <c r="I31" s="9"/>
      <c r="J31" s="9"/>
      <c r="K31" s="9"/>
    </row>
    <row r="32" spans="1:11" ht="18" customHeight="1" x14ac:dyDescent="0.25">
      <c r="A32" s="16" t="s">
        <v>61</v>
      </c>
      <c r="B32" s="26">
        <f>1000/B31</f>
        <v>20</v>
      </c>
      <c r="C32" s="9" t="s">
        <v>62</v>
      </c>
      <c r="D32" s="9"/>
      <c r="E32" s="9"/>
      <c r="F32" s="9"/>
      <c r="G32" s="9"/>
      <c r="H32" s="9"/>
      <c r="I32" s="9"/>
      <c r="J32" s="9"/>
      <c r="K32" s="9"/>
    </row>
    <row r="33" spans="1:11" ht="25.5" customHeight="1" x14ac:dyDescent="0.25">
      <c r="A33" s="27" t="s">
        <v>63</v>
      </c>
      <c r="B33" s="28">
        <v>10</v>
      </c>
      <c r="C33" s="8" t="s">
        <v>64</v>
      </c>
      <c r="D33" s="8"/>
      <c r="E33" s="8"/>
      <c r="F33" s="8"/>
      <c r="G33" s="8"/>
      <c r="H33" s="8"/>
      <c r="I33" s="8"/>
      <c r="J33" s="8"/>
      <c r="K33" s="8"/>
    </row>
    <row r="34" spans="1:11" ht="18" customHeight="1" x14ac:dyDescent="0.25">
      <c r="A34" s="29" t="s">
        <v>65</v>
      </c>
      <c r="B34" s="30">
        <f>B32+B33</f>
        <v>30</v>
      </c>
      <c r="C34" s="7" t="s">
        <v>66</v>
      </c>
      <c r="D34" s="7"/>
      <c r="E34" s="7"/>
      <c r="F34" s="7"/>
      <c r="G34" s="7"/>
      <c r="H34" s="7"/>
      <c r="I34" s="7"/>
      <c r="J34" s="7"/>
      <c r="K34" s="7"/>
    </row>
    <row r="35" spans="1:11" ht="18" customHeight="1" x14ac:dyDescent="0.25">
      <c r="A35" s="31"/>
      <c r="B35" s="32"/>
      <c r="C35" s="6"/>
      <c r="D35" s="6"/>
      <c r="E35" s="6"/>
      <c r="F35" s="6"/>
      <c r="G35" s="6"/>
      <c r="H35" s="6"/>
      <c r="I35" s="6"/>
      <c r="J35" s="6"/>
      <c r="K35" s="6"/>
    </row>
    <row r="36" spans="1:11" ht="27.75" customHeight="1" x14ac:dyDescent="0.25">
      <c r="A36" s="31"/>
      <c r="B36" s="33"/>
      <c r="C36" s="6"/>
      <c r="D36" s="6"/>
      <c r="E36" s="6"/>
      <c r="F36" s="6"/>
      <c r="G36" s="6"/>
      <c r="H36" s="6"/>
      <c r="I36" s="6"/>
      <c r="J36" s="6"/>
      <c r="K36" s="6"/>
    </row>
    <row r="37" spans="1:11" ht="18" customHeight="1" x14ac:dyDescent="0.25">
      <c r="A37" s="31"/>
      <c r="B37" s="32"/>
      <c r="C37" s="6"/>
      <c r="D37" s="6"/>
      <c r="E37" s="6"/>
      <c r="F37" s="6"/>
      <c r="G37" s="6"/>
      <c r="H37" s="6"/>
      <c r="I37" s="6"/>
      <c r="J37" s="6"/>
      <c r="K37" s="6"/>
    </row>
  </sheetData>
  <mergeCells count="24">
    <mergeCell ref="C34:K34"/>
    <mergeCell ref="C35:K35"/>
    <mergeCell ref="C36:K36"/>
    <mergeCell ref="C37:K37"/>
    <mergeCell ref="C29:K29"/>
    <mergeCell ref="C30:K30"/>
    <mergeCell ref="C31:K31"/>
    <mergeCell ref="C32:K32"/>
    <mergeCell ref="C33:K33"/>
    <mergeCell ref="C24:K24"/>
    <mergeCell ref="C25:K25"/>
    <mergeCell ref="C26:K26"/>
    <mergeCell ref="C27:K27"/>
    <mergeCell ref="C28:K28"/>
    <mergeCell ref="D7:K7"/>
    <mergeCell ref="D8:K8"/>
    <mergeCell ref="A10:K10"/>
    <mergeCell ref="A22:K22"/>
    <mergeCell ref="C23:K23"/>
    <mergeCell ref="A1:K1"/>
    <mergeCell ref="A2:K2"/>
    <mergeCell ref="A4:K4"/>
    <mergeCell ref="D5:K5"/>
    <mergeCell ref="D6:K6"/>
  </mergeCells>
  <conditionalFormatting sqref="B35">
    <cfRule type="cellIs" dxfId="7" priority="2" operator="equal">
      <formula>"OUI"</formula>
    </cfRule>
    <cfRule type="cellIs" dxfId="6" priority="3" operator="equal">
      <formula>"NON"</formula>
    </cfRule>
  </conditionalFormatting>
  <conditionalFormatting sqref="B37">
    <cfRule type="cellIs" dxfId="5" priority="4" operator="equal">
      <formula>"OUI"</formula>
    </cfRule>
    <cfRule type="cellIs" dxfId="4" priority="5" operator="equal">
      <formula>"NON"</formula>
    </cfRule>
  </conditionalFormatting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29"/>
  <sheetViews>
    <sheetView showGridLines="0" zoomScale="90" zoomScaleNormal="9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21" sqref="D21:D23"/>
    </sheetView>
  </sheetViews>
  <sheetFormatPr baseColWidth="10" defaultColWidth="8.7109375" defaultRowHeight="15" x14ac:dyDescent="0.25"/>
  <cols>
    <col min="1" max="1" width="5" style="64" customWidth="1"/>
    <col min="2" max="2" width="32.42578125" style="64" customWidth="1"/>
    <col min="3" max="4" width="24" style="64" customWidth="1"/>
    <col min="5" max="5" width="42" style="64" bestFit="1" customWidth="1"/>
    <col min="6" max="6" width="50" style="64" customWidth="1"/>
    <col min="7" max="8" width="34" style="64" customWidth="1"/>
    <col min="9" max="9" width="6" style="64" customWidth="1"/>
    <col min="10" max="11" width="13" style="64" customWidth="1"/>
    <col min="12" max="16384" width="8.7109375" style="64"/>
  </cols>
  <sheetData>
    <row r="1" spans="1:11" ht="17.25" customHeight="1" x14ac:dyDescent="0.25">
      <c r="A1" s="62" t="s">
        <v>247</v>
      </c>
      <c r="B1" s="62"/>
      <c r="C1" s="62"/>
      <c r="D1" s="62"/>
      <c r="E1" s="62"/>
      <c r="F1" s="62"/>
      <c r="G1" s="62"/>
      <c r="H1" s="62"/>
      <c r="I1" s="62"/>
      <c r="J1" s="62"/>
      <c r="K1" s="62"/>
    </row>
    <row r="2" spans="1:11" ht="15" customHeight="1" x14ac:dyDescent="0.25">
      <c r="A2" s="13" t="s">
        <v>67</v>
      </c>
      <c r="B2" s="13"/>
      <c r="C2" s="13"/>
      <c r="D2" s="13"/>
      <c r="E2" s="13"/>
      <c r="F2" s="13"/>
      <c r="G2" s="13"/>
      <c r="H2" s="13"/>
      <c r="I2" s="13"/>
      <c r="J2" s="13"/>
      <c r="K2" s="13"/>
    </row>
    <row r="4" spans="1:11" ht="31.5" customHeight="1" x14ac:dyDescent="0.25">
      <c r="A4" s="15" t="s">
        <v>68</v>
      </c>
      <c r="B4" s="15" t="s">
        <v>69</v>
      </c>
      <c r="C4" s="15" t="s">
        <v>70</v>
      </c>
      <c r="D4" s="15" t="s">
        <v>71</v>
      </c>
      <c r="E4" s="15" t="s">
        <v>72</v>
      </c>
      <c r="F4" s="15" t="s">
        <v>73</v>
      </c>
      <c r="G4" s="15" t="s">
        <v>74</v>
      </c>
      <c r="H4" s="34" t="s">
        <v>75</v>
      </c>
      <c r="I4" s="15" t="s">
        <v>76</v>
      </c>
      <c r="J4" s="15" t="s">
        <v>77</v>
      </c>
      <c r="K4" s="15" t="s">
        <v>78</v>
      </c>
    </row>
    <row r="5" spans="1:11" ht="45" customHeight="1" x14ac:dyDescent="0.25">
      <c r="A5" s="5">
        <v>1</v>
      </c>
      <c r="B5" s="4" t="s">
        <v>79</v>
      </c>
      <c r="C5" s="5" t="s">
        <v>80</v>
      </c>
      <c r="D5" s="5" t="s">
        <v>81</v>
      </c>
      <c r="E5" s="5" t="s">
        <v>82</v>
      </c>
      <c r="F5" s="10" t="s">
        <v>83</v>
      </c>
      <c r="G5" s="36" t="s">
        <v>84</v>
      </c>
      <c r="H5" s="37" t="s">
        <v>85</v>
      </c>
      <c r="I5" s="3">
        <v>1</v>
      </c>
      <c r="J5" s="2">
        <v>8</v>
      </c>
      <c r="K5" s="1">
        <f>IF(ISNUMBER(J5),I5*J5,"")</f>
        <v>8</v>
      </c>
    </row>
    <row r="6" spans="1:11" ht="45" customHeight="1" x14ac:dyDescent="0.25">
      <c r="A6" s="5"/>
      <c r="B6" s="5"/>
      <c r="C6" s="5"/>
      <c r="D6" s="5"/>
      <c r="E6" s="5"/>
      <c r="F6" s="5"/>
      <c r="G6" s="36" t="s">
        <v>86</v>
      </c>
      <c r="H6" s="37" t="s">
        <v>87</v>
      </c>
      <c r="I6" s="3"/>
      <c r="J6" s="2"/>
      <c r="K6" s="2"/>
    </row>
    <row r="7" spans="1:11" ht="45" customHeight="1" x14ac:dyDescent="0.25">
      <c r="A7" s="5"/>
      <c r="B7" s="5"/>
      <c r="C7" s="5"/>
      <c r="D7" s="5"/>
      <c r="E7" s="5"/>
      <c r="F7" s="5"/>
      <c r="G7" s="36" t="s">
        <v>88</v>
      </c>
      <c r="H7" s="37" t="s">
        <v>89</v>
      </c>
      <c r="I7" s="3"/>
      <c r="J7" s="2"/>
      <c r="K7" s="2"/>
    </row>
    <row r="8" spans="1:11" ht="109.5" customHeight="1" x14ac:dyDescent="0.25">
      <c r="A8" s="41">
        <v>2</v>
      </c>
      <c r="B8" s="35" t="s">
        <v>90</v>
      </c>
      <c r="C8" s="17" t="s">
        <v>91</v>
      </c>
      <c r="D8" s="17" t="s">
        <v>92</v>
      </c>
      <c r="E8" s="17" t="s">
        <v>93</v>
      </c>
      <c r="F8" s="18" t="s">
        <v>94</v>
      </c>
      <c r="G8" s="36" t="s">
        <v>95</v>
      </c>
      <c r="H8" s="37"/>
      <c r="I8" s="44"/>
      <c r="J8" s="45"/>
      <c r="K8" s="40"/>
    </row>
    <row r="9" spans="1:11" ht="60" customHeight="1" x14ac:dyDescent="0.25">
      <c r="A9" s="17">
        <v>3</v>
      </c>
      <c r="B9" s="35" t="s">
        <v>96</v>
      </c>
      <c r="C9" s="17" t="s">
        <v>97</v>
      </c>
      <c r="D9" s="17" t="s">
        <v>98</v>
      </c>
      <c r="E9" s="17" t="s">
        <v>99</v>
      </c>
      <c r="F9" s="17" t="s">
        <v>100</v>
      </c>
      <c r="G9" s="36" t="s">
        <v>101</v>
      </c>
      <c r="H9" s="37" t="s">
        <v>102</v>
      </c>
      <c r="I9" s="38">
        <v>2</v>
      </c>
      <c r="J9" s="39">
        <v>4</v>
      </c>
      <c r="K9" s="40">
        <f>IF(ISNUMBER(J9),I9*J9,"")</f>
        <v>8</v>
      </c>
    </row>
    <row r="10" spans="1:11" ht="22.5" customHeight="1" x14ac:dyDescent="0.25">
      <c r="A10" s="5">
        <v>4</v>
      </c>
      <c r="B10" s="4" t="s">
        <v>103</v>
      </c>
      <c r="C10" s="5" t="s">
        <v>27</v>
      </c>
      <c r="D10" s="5" t="s">
        <v>104</v>
      </c>
      <c r="E10" s="5" t="s">
        <v>105</v>
      </c>
      <c r="F10" s="5" t="s">
        <v>106</v>
      </c>
      <c r="G10" s="36" t="s">
        <v>29</v>
      </c>
      <c r="H10" s="37" t="s">
        <v>107</v>
      </c>
      <c r="I10" s="58">
        <v>3</v>
      </c>
      <c r="J10" s="2">
        <v>1.6</v>
      </c>
      <c r="K10" s="1">
        <f>IF(ISNUMBER(J10),I10*J10,"")</f>
        <v>4.8000000000000007</v>
      </c>
    </row>
    <row r="11" spans="1:11" ht="45" customHeight="1" x14ac:dyDescent="0.25">
      <c r="A11" s="5"/>
      <c r="B11" s="5"/>
      <c r="C11" s="5"/>
      <c r="D11" s="5"/>
      <c r="E11" s="5"/>
      <c r="F11" s="5"/>
      <c r="G11" s="36" t="s">
        <v>108</v>
      </c>
      <c r="H11" s="37" t="s">
        <v>109</v>
      </c>
      <c r="I11" s="58"/>
      <c r="J11" s="2"/>
      <c r="K11" s="2"/>
    </row>
    <row r="12" spans="1:11" ht="22.5" customHeight="1" x14ac:dyDescent="0.25">
      <c r="A12" s="5">
        <v>5</v>
      </c>
      <c r="B12" s="4" t="s">
        <v>110</v>
      </c>
      <c r="C12" s="5" t="s">
        <v>29</v>
      </c>
      <c r="D12" s="5" t="s">
        <v>111</v>
      </c>
      <c r="E12" s="10" t="s">
        <v>112</v>
      </c>
      <c r="F12" s="10" t="s">
        <v>113</v>
      </c>
      <c r="G12" s="46" t="s">
        <v>27</v>
      </c>
      <c r="H12" s="65" t="s">
        <v>114</v>
      </c>
      <c r="I12" s="58">
        <v>1</v>
      </c>
      <c r="J12" s="2">
        <v>0.5</v>
      </c>
      <c r="K12" s="1">
        <f>IF(ISNUMBER(J12),I12*J12,"")</f>
        <v>0.5</v>
      </c>
    </row>
    <row r="13" spans="1:11" ht="45" customHeight="1" x14ac:dyDescent="0.25">
      <c r="A13" s="5"/>
      <c r="B13" s="5"/>
      <c r="C13" s="5"/>
      <c r="D13" s="5"/>
      <c r="E13" s="5"/>
      <c r="F13" s="5"/>
      <c r="G13" s="46" t="s">
        <v>115</v>
      </c>
      <c r="H13" s="65" t="s">
        <v>116</v>
      </c>
      <c r="I13" s="58"/>
      <c r="J13" s="2"/>
      <c r="K13" s="2"/>
    </row>
    <row r="14" spans="1:11" ht="45" customHeight="1" x14ac:dyDescent="0.25">
      <c r="A14" s="5">
        <v>6</v>
      </c>
      <c r="B14" s="4" t="s">
        <v>117</v>
      </c>
      <c r="C14" s="5" t="s">
        <v>31</v>
      </c>
      <c r="D14" s="10" t="s">
        <v>118</v>
      </c>
      <c r="E14" s="10" t="s">
        <v>119</v>
      </c>
      <c r="F14" s="10" t="s">
        <v>120</v>
      </c>
      <c r="G14" s="46" t="s">
        <v>121</v>
      </c>
      <c r="H14" s="65" t="s">
        <v>122</v>
      </c>
      <c r="I14" s="58">
        <v>5</v>
      </c>
      <c r="J14" s="2">
        <v>0.3</v>
      </c>
      <c r="K14" s="1">
        <f>IF(ISNUMBER(J14),I14*J14,"")</f>
        <v>1.5</v>
      </c>
    </row>
    <row r="15" spans="1:11" ht="45" customHeight="1" x14ac:dyDescent="0.25">
      <c r="A15" s="5"/>
      <c r="B15" s="5"/>
      <c r="C15" s="5"/>
      <c r="D15" s="5"/>
      <c r="E15" s="5"/>
      <c r="F15" s="5"/>
      <c r="G15" s="66" t="s">
        <v>123</v>
      </c>
      <c r="H15" s="65" t="s">
        <v>124</v>
      </c>
      <c r="I15" s="58"/>
      <c r="J15" s="2"/>
      <c r="K15" s="2"/>
    </row>
    <row r="16" spans="1:11" ht="45" customHeight="1" x14ac:dyDescent="0.25">
      <c r="A16" s="5">
        <v>7</v>
      </c>
      <c r="B16" s="4" t="s">
        <v>125</v>
      </c>
      <c r="C16" s="5" t="s">
        <v>126</v>
      </c>
      <c r="D16" s="10" t="s">
        <v>127</v>
      </c>
      <c r="E16" s="10" t="s">
        <v>128</v>
      </c>
      <c r="F16" s="59" t="s">
        <v>129</v>
      </c>
      <c r="G16" s="65" t="s">
        <v>130</v>
      </c>
      <c r="H16" s="65" t="s">
        <v>131</v>
      </c>
      <c r="I16" s="58">
        <v>1</v>
      </c>
      <c r="J16" s="2">
        <v>4</v>
      </c>
      <c r="K16" s="1">
        <f>IF(ISNUMBER(J16),I16*J16,"")</f>
        <v>4</v>
      </c>
    </row>
    <row r="17" spans="1:11" ht="60" customHeight="1" x14ac:dyDescent="0.25">
      <c r="A17" s="5"/>
      <c r="B17" s="5"/>
      <c r="C17" s="5"/>
      <c r="D17" s="5"/>
      <c r="E17" s="5"/>
      <c r="F17" s="59"/>
      <c r="G17" s="65" t="s">
        <v>132</v>
      </c>
      <c r="H17" s="65" t="s">
        <v>133</v>
      </c>
      <c r="I17" s="58"/>
      <c r="J17" s="2"/>
      <c r="K17" s="2"/>
    </row>
    <row r="18" spans="1:11" ht="60" customHeight="1" x14ac:dyDescent="0.25">
      <c r="A18" s="5"/>
      <c r="B18" s="5"/>
      <c r="C18" s="5"/>
      <c r="D18" s="5"/>
      <c r="E18" s="5"/>
      <c r="F18" s="59"/>
      <c r="G18" s="37" t="s">
        <v>134</v>
      </c>
      <c r="H18" s="65" t="s">
        <v>135</v>
      </c>
      <c r="I18" s="58"/>
      <c r="J18" s="2"/>
      <c r="K18" s="2"/>
    </row>
    <row r="19" spans="1:11" ht="45" customHeight="1" x14ac:dyDescent="0.25">
      <c r="A19" s="5">
        <v>8</v>
      </c>
      <c r="B19" s="4" t="s">
        <v>136</v>
      </c>
      <c r="C19" s="5" t="s">
        <v>137</v>
      </c>
      <c r="D19" s="5" t="s">
        <v>138</v>
      </c>
      <c r="E19" s="5"/>
      <c r="F19" s="5" t="s">
        <v>139</v>
      </c>
      <c r="G19" s="67" t="s">
        <v>140</v>
      </c>
      <c r="H19" s="37" t="s">
        <v>141</v>
      </c>
      <c r="I19" s="58">
        <v>1</v>
      </c>
      <c r="J19" s="2">
        <v>0.1</v>
      </c>
      <c r="K19" s="1">
        <f>IF(ISNUMBER(J19),I19*J19,"")</f>
        <v>0.1</v>
      </c>
    </row>
    <row r="20" spans="1:11" ht="60" customHeight="1" x14ac:dyDescent="0.25">
      <c r="A20" s="5"/>
      <c r="B20" s="5"/>
      <c r="C20" s="5"/>
      <c r="D20" s="5"/>
      <c r="E20" s="5"/>
      <c r="F20" s="5"/>
      <c r="G20" s="67" t="s">
        <v>142</v>
      </c>
      <c r="H20" s="37" t="s">
        <v>143</v>
      </c>
      <c r="I20" s="58"/>
      <c r="J20" s="2"/>
      <c r="K20" s="2"/>
    </row>
    <row r="21" spans="1:11" ht="45" customHeight="1" x14ac:dyDescent="0.25">
      <c r="A21" s="5">
        <v>9</v>
      </c>
      <c r="B21" s="4" t="s">
        <v>144</v>
      </c>
      <c r="C21" s="5" t="s">
        <v>145</v>
      </c>
      <c r="D21" s="5" t="s">
        <v>146</v>
      </c>
      <c r="E21" s="5" t="s">
        <v>147</v>
      </c>
      <c r="F21" s="5" t="s">
        <v>148</v>
      </c>
      <c r="G21" s="36" t="s">
        <v>149</v>
      </c>
      <c r="H21" s="37" t="s">
        <v>150</v>
      </c>
      <c r="I21" s="58">
        <v>1</v>
      </c>
      <c r="J21" s="2">
        <v>8</v>
      </c>
      <c r="K21" s="1">
        <f>IF(ISNUMBER(J21),I21*J21,"")</f>
        <v>8</v>
      </c>
    </row>
    <row r="22" spans="1:11" ht="45" customHeight="1" x14ac:dyDescent="0.25">
      <c r="A22" s="5"/>
      <c r="B22" s="5"/>
      <c r="C22" s="5"/>
      <c r="D22" s="5"/>
      <c r="E22" s="5"/>
      <c r="F22" s="5"/>
      <c r="G22" s="36" t="s">
        <v>151</v>
      </c>
      <c r="H22" s="37" t="s">
        <v>152</v>
      </c>
      <c r="I22" s="58"/>
      <c r="J22" s="2"/>
      <c r="K22" s="2"/>
    </row>
    <row r="23" spans="1:11" ht="45" customHeight="1" x14ac:dyDescent="0.25">
      <c r="A23" s="5"/>
      <c r="B23" s="5"/>
      <c r="C23" s="5"/>
      <c r="D23" s="5"/>
      <c r="E23" s="5"/>
      <c r="F23" s="5"/>
      <c r="G23" s="36" t="s">
        <v>153</v>
      </c>
      <c r="H23" s="37" t="s">
        <v>154</v>
      </c>
      <c r="I23" s="58"/>
      <c r="J23" s="2"/>
      <c r="K23" s="2"/>
    </row>
    <row r="24" spans="1:11" ht="60" customHeight="1" x14ac:dyDescent="0.25">
      <c r="A24" s="17">
        <v>10</v>
      </c>
      <c r="B24" s="35" t="s">
        <v>155</v>
      </c>
      <c r="C24" s="17" t="s">
        <v>156</v>
      </c>
      <c r="D24" s="17" t="s">
        <v>157</v>
      </c>
      <c r="E24" s="17" t="s">
        <v>248</v>
      </c>
      <c r="F24" s="17" t="s">
        <v>158</v>
      </c>
      <c r="G24" s="36" t="s">
        <v>159</v>
      </c>
      <c r="H24" s="37" t="s">
        <v>160</v>
      </c>
      <c r="I24" s="38">
        <v>1</v>
      </c>
      <c r="J24" s="39">
        <v>5</v>
      </c>
      <c r="K24" s="40">
        <f>IF(ISNUMBER(J24),I24*J24,"")</f>
        <v>5</v>
      </c>
    </row>
    <row r="25" spans="1:11" ht="60" customHeight="1" x14ac:dyDescent="0.25">
      <c r="A25" s="17">
        <v>11</v>
      </c>
      <c r="B25" s="35" t="s">
        <v>161</v>
      </c>
      <c r="C25" s="17" t="s">
        <v>39</v>
      </c>
      <c r="D25" s="17" t="s">
        <v>162</v>
      </c>
      <c r="E25" s="17" t="s">
        <v>163</v>
      </c>
      <c r="F25" s="17" t="s">
        <v>164</v>
      </c>
      <c r="G25" s="36" t="s">
        <v>165</v>
      </c>
      <c r="H25" s="37" t="s">
        <v>143</v>
      </c>
      <c r="I25" s="38">
        <v>1</v>
      </c>
      <c r="J25" s="39">
        <v>3</v>
      </c>
      <c r="K25" s="40">
        <f>IF(ISNUMBER(J25),I25*J25,"")</f>
        <v>3</v>
      </c>
    </row>
    <row r="26" spans="1:11" ht="31.5" customHeight="1" x14ac:dyDescent="0.25">
      <c r="A26" s="17">
        <v>12</v>
      </c>
      <c r="B26" s="35" t="s">
        <v>166</v>
      </c>
      <c r="C26" s="17" t="s">
        <v>121</v>
      </c>
      <c r="D26" s="17" t="s">
        <v>167</v>
      </c>
      <c r="E26" s="17" t="s">
        <v>168</v>
      </c>
      <c r="F26" s="17" t="s">
        <v>169</v>
      </c>
      <c r="G26" s="36" t="s">
        <v>170</v>
      </c>
      <c r="H26" s="37" t="s">
        <v>171</v>
      </c>
      <c r="I26" s="38">
        <v>1</v>
      </c>
      <c r="J26" s="39">
        <v>1</v>
      </c>
      <c r="K26" s="40">
        <f>IF(ISNUMBER(J26),I26*J26,"")</f>
        <v>1</v>
      </c>
    </row>
    <row r="27" spans="1:11" ht="23.25" customHeight="1" x14ac:dyDescent="0.25">
      <c r="A27" s="22" t="s">
        <v>41</v>
      </c>
      <c r="B27" s="47"/>
      <c r="C27" s="47"/>
      <c r="D27" s="47"/>
      <c r="E27" s="47"/>
      <c r="F27" s="47"/>
      <c r="G27" s="47"/>
      <c r="H27" s="68"/>
      <c r="I27" s="22">
        <f>SUM(I5:I26)</f>
        <v>18</v>
      </c>
      <c r="J27" s="47"/>
      <c r="K27" s="48">
        <f>SUM(K5:K26)</f>
        <v>43.900000000000006</v>
      </c>
    </row>
    <row r="28" spans="1:11" ht="15" customHeight="1" x14ac:dyDescent="0.25"/>
    <row r="29" spans="1:11" ht="27.75" customHeight="1" x14ac:dyDescent="0.25">
      <c r="A29" s="69"/>
      <c r="B29" s="69"/>
      <c r="C29" s="69"/>
      <c r="D29" s="69"/>
      <c r="E29" s="69"/>
      <c r="F29" s="69"/>
      <c r="G29" s="69"/>
      <c r="H29" s="69"/>
      <c r="I29" s="69"/>
      <c r="J29" s="69"/>
      <c r="K29" s="69"/>
    </row>
  </sheetData>
  <mergeCells count="66">
    <mergeCell ref="A29:K29"/>
    <mergeCell ref="F19:F20"/>
    <mergeCell ref="I19:I20"/>
    <mergeCell ref="J19:J20"/>
    <mergeCell ref="K19:K20"/>
    <mergeCell ref="A21:A23"/>
    <mergeCell ref="B21:B23"/>
    <mergeCell ref="C21:C23"/>
    <mergeCell ref="D21:D23"/>
    <mergeCell ref="E21:E23"/>
    <mergeCell ref="F21:F23"/>
    <mergeCell ref="I21:I23"/>
    <mergeCell ref="J21:J23"/>
    <mergeCell ref="K21:K23"/>
    <mergeCell ref="A19:A20"/>
    <mergeCell ref="B19:B20"/>
    <mergeCell ref="C19:C20"/>
    <mergeCell ref="D19:D20"/>
    <mergeCell ref="E19:E20"/>
    <mergeCell ref="F14:F15"/>
    <mergeCell ref="I14:I15"/>
    <mergeCell ref="J14:J15"/>
    <mergeCell ref="K14:K15"/>
    <mergeCell ref="A16:A18"/>
    <mergeCell ref="B16:B18"/>
    <mergeCell ref="C16:C18"/>
    <mergeCell ref="D16:D18"/>
    <mergeCell ref="E16:E18"/>
    <mergeCell ref="F16:F18"/>
    <mergeCell ref="I16:I18"/>
    <mergeCell ref="J16:J18"/>
    <mergeCell ref="K16:K18"/>
    <mergeCell ref="A14:A15"/>
    <mergeCell ref="B14:B15"/>
    <mergeCell ref="C14:C15"/>
    <mergeCell ref="D14:D15"/>
    <mergeCell ref="E14:E15"/>
    <mergeCell ref="F10:F11"/>
    <mergeCell ref="I10:I11"/>
    <mergeCell ref="J10:J11"/>
    <mergeCell ref="K10:K11"/>
    <mergeCell ref="A12:A13"/>
    <mergeCell ref="B12:B13"/>
    <mergeCell ref="C12:C13"/>
    <mergeCell ref="D12:D13"/>
    <mergeCell ref="E12:E13"/>
    <mergeCell ref="F12:F13"/>
    <mergeCell ref="I12:I13"/>
    <mergeCell ref="J12:J13"/>
    <mergeCell ref="K12:K13"/>
    <mergeCell ref="A10:A11"/>
    <mergeCell ref="B10:B11"/>
    <mergeCell ref="C10:C11"/>
    <mergeCell ref="D10:D11"/>
    <mergeCell ref="E10:E11"/>
    <mergeCell ref="A1:K1"/>
    <mergeCell ref="A2:K2"/>
    <mergeCell ref="A5:A7"/>
    <mergeCell ref="B5:B7"/>
    <mergeCell ref="C5:C7"/>
    <mergeCell ref="D5:D7"/>
    <mergeCell ref="E5:E7"/>
    <mergeCell ref="F5:F7"/>
    <mergeCell ref="I5:I7"/>
    <mergeCell ref="J5:J7"/>
    <mergeCell ref="K5:K7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28"/>
  <sheetViews>
    <sheetView showGridLines="0"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H15" sqref="H15"/>
    </sheetView>
  </sheetViews>
  <sheetFormatPr baseColWidth="10" defaultColWidth="8.7109375" defaultRowHeight="15" x14ac:dyDescent="0.25"/>
  <cols>
    <col min="1" max="1" width="46" customWidth="1"/>
    <col min="2" max="2" width="12" customWidth="1"/>
    <col min="3" max="3" width="22" customWidth="1"/>
    <col min="4" max="4" width="24" customWidth="1"/>
    <col min="5" max="6" width="22" customWidth="1"/>
  </cols>
  <sheetData>
    <row r="1" spans="1:6" ht="17.25" customHeight="1" x14ac:dyDescent="0.25">
      <c r="A1" s="14" t="s">
        <v>172</v>
      </c>
      <c r="B1" s="14"/>
      <c r="C1" s="14"/>
      <c r="D1" s="14"/>
      <c r="E1" s="14"/>
      <c r="F1" s="14"/>
    </row>
    <row r="2" spans="1:6" ht="15" customHeight="1" x14ac:dyDescent="0.25">
      <c r="A2" s="13" t="s">
        <v>173</v>
      </c>
      <c r="B2" s="13"/>
      <c r="C2" s="13"/>
      <c r="D2" s="13"/>
      <c r="E2" s="13"/>
      <c r="F2" s="13"/>
    </row>
    <row r="4" spans="1:6" ht="19.5" customHeight="1" x14ac:dyDescent="0.25">
      <c r="A4" s="60" t="s">
        <v>174</v>
      </c>
      <c r="B4" s="60"/>
      <c r="C4" s="60"/>
      <c r="D4" s="60"/>
      <c r="E4" s="60"/>
      <c r="F4" s="60"/>
    </row>
    <row r="5" spans="1:6" ht="43.5" customHeight="1" x14ac:dyDescent="0.25">
      <c r="A5" s="15" t="s">
        <v>3</v>
      </c>
      <c r="B5" s="15" t="s">
        <v>5</v>
      </c>
      <c r="C5" s="15" t="s">
        <v>175</v>
      </c>
      <c r="D5" s="15" t="s">
        <v>176</v>
      </c>
      <c r="E5" s="15" t="s">
        <v>177</v>
      </c>
      <c r="F5" s="15" t="s">
        <v>178</v>
      </c>
    </row>
    <row r="6" spans="1:6" ht="15" customHeight="1" x14ac:dyDescent="0.25">
      <c r="A6" s="16" t="s">
        <v>179</v>
      </c>
      <c r="B6" s="17"/>
      <c r="C6" s="17" t="s">
        <v>180</v>
      </c>
      <c r="D6" s="17" t="s">
        <v>180</v>
      </c>
      <c r="E6" s="17" t="s">
        <v>181</v>
      </c>
      <c r="F6" s="17" t="s">
        <v>180</v>
      </c>
    </row>
    <row r="7" spans="1:6" ht="15" customHeight="1" x14ac:dyDescent="0.25">
      <c r="A7" s="16" t="s">
        <v>182</v>
      </c>
      <c r="B7" s="17" t="s">
        <v>8</v>
      </c>
      <c r="C7" s="49">
        <v>200</v>
      </c>
      <c r="D7" s="49">
        <v>800</v>
      </c>
      <c r="E7" s="49">
        <v>2000</v>
      </c>
      <c r="F7" s="49">
        <v>10</v>
      </c>
    </row>
    <row r="8" spans="1:6" ht="15" customHeight="1" x14ac:dyDescent="0.25">
      <c r="A8" s="16" t="s">
        <v>183</v>
      </c>
      <c r="B8" s="17" t="s">
        <v>12</v>
      </c>
      <c r="C8" s="49">
        <v>5</v>
      </c>
      <c r="D8" s="49">
        <v>3</v>
      </c>
      <c r="E8" s="49">
        <v>200</v>
      </c>
      <c r="F8" s="49">
        <v>30</v>
      </c>
    </row>
    <row r="9" spans="1:6" ht="15" customHeight="1" x14ac:dyDescent="0.25">
      <c r="A9" s="16" t="s">
        <v>184</v>
      </c>
      <c r="B9" s="17"/>
      <c r="C9" s="50" t="str">
        <f>IF(C7&gt;=Requirements!$B$7,"YES","NO")</f>
        <v>YES</v>
      </c>
      <c r="D9" s="50" t="str">
        <f>IF(D7&gt;=Requirements!$B$7,"YES","NO")</f>
        <v>YES</v>
      </c>
      <c r="E9" s="50" t="str">
        <f>IF(E7&gt;=Requirements!$B$7,"YES","NO")</f>
        <v>YES</v>
      </c>
      <c r="F9" s="50" t="str">
        <f>IF(F7&gt;=Requirements!$B$7,"YES","NO")</f>
        <v>NO</v>
      </c>
    </row>
    <row r="10" spans="1:6" ht="15" customHeight="1" x14ac:dyDescent="0.25">
      <c r="A10" s="16" t="s">
        <v>185</v>
      </c>
      <c r="B10" s="17"/>
      <c r="C10" s="50" t="str">
        <f>IF(C8&lt;Requirements!$B$8,"YES","NO")</f>
        <v>YES</v>
      </c>
      <c r="D10" s="50" t="str">
        <f>IF(D8&lt;Requirements!$B$8,"YES","NO")</f>
        <v>YES</v>
      </c>
      <c r="E10" s="50" t="str">
        <f>IF(E8&lt;Requirements!$B$8,"YES","NO")</f>
        <v>NO</v>
      </c>
      <c r="F10" s="50" t="str">
        <f>IF(F8&lt;Requirements!$B$8,"YES","NO")</f>
        <v>YES</v>
      </c>
    </row>
    <row r="11" spans="1:6" ht="15" customHeight="1" x14ac:dyDescent="0.25">
      <c r="A11" s="42" t="s">
        <v>186</v>
      </c>
      <c r="B11" s="17"/>
      <c r="C11" s="35" t="str">
        <f>IF(AND(C9="YES",C10="YES"),"YES","NO")</f>
        <v>YES</v>
      </c>
      <c r="D11" s="35" t="str">
        <f>IF(AND(D9="YES",D10="YES"),"YES","NO")</f>
        <v>YES</v>
      </c>
      <c r="E11" s="35" t="str">
        <f>IF(AND(E9="YES",E10="YES"),"YES","NO")</f>
        <v>NO</v>
      </c>
      <c r="F11" s="35" t="str">
        <f>IF(AND(F9="YES",F10="YES"),"YES","NO")</f>
        <v>NO</v>
      </c>
    </row>
    <row r="13" spans="1:6" ht="19.5" customHeight="1" x14ac:dyDescent="0.25">
      <c r="A13" s="12" t="s">
        <v>187</v>
      </c>
      <c r="B13" s="12"/>
      <c r="C13" s="12"/>
      <c r="D13" s="12"/>
      <c r="E13" s="12"/>
      <c r="F13" s="12"/>
    </row>
    <row r="14" spans="1:6" ht="43.5" customHeight="1" x14ac:dyDescent="0.25">
      <c r="A14" s="15" t="s">
        <v>3</v>
      </c>
      <c r="B14" s="15" t="s">
        <v>188</v>
      </c>
      <c r="C14" s="15" t="s">
        <v>175</v>
      </c>
      <c r="D14" s="15" t="s">
        <v>176</v>
      </c>
      <c r="E14" s="15" t="s">
        <v>177</v>
      </c>
      <c r="F14" s="15" t="s">
        <v>178</v>
      </c>
    </row>
    <row r="15" spans="1:6" ht="15" customHeight="1" x14ac:dyDescent="0.25">
      <c r="A15" s="16" t="s">
        <v>189</v>
      </c>
      <c r="B15" s="51">
        <v>0.25</v>
      </c>
      <c r="C15" s="49">
        <v>4</v>
      </c>
      <c r="D15" s="49">
        <v>5</v>
      </c>
      <c r="E15" s="49">
        <v>5</v>
      </c>
      <c r="F15" s="49">
        <v>1</v>
      </c>
    </row>
    <row r="16" spans="1:6" ht="15" customHeight="1" x14ac:dyDescent="0.25">
      <c r="A16" s="16" t="s">
        <v>190</v>
      </c>
      <c r="B16" s="51">
        <v>0.2</v>
      </c>
      <c r="C16" s="49">
        <v>5</v>
      </c>
      <c r="D16" s="49">
        <v>5</v>
      </c>
      <c r="E16" s="49">
        <v>1</v>
      </c>
      <c r="F16" s="49">
        <v>3</v>
      </c>
    </row>
    <row r="17" spans="1:6" ht="15" customHeight="1" x14ac:dyDescent="0.25">
      <c r="A17" s="16" t="s">
        <v>191</v>
      </c>
      <c r="B17" s="51">
        <v>0.15</v>
      </c>
      <c r="C17" s="49">
        <v>5</v>
      </c>
      <c r="D17" s="49">
        <v>3</v>
      </c>
      <c r="E17" s="49">
        <v>3</v>
      </c>
      <c r="F17" s="49">
        <v>3</v>
      </c>
    </row>
    <row r="18" spans="1:6" ht="15" customHeight="1" x14ac:dyDescent="0.25">
      <c r="A18" s="16" t="s">
        <v>192</v>
      </c>
      <c r="B18" s="51">
        <v>0.15</v>
      </c>
      <c r="C18" s="49">
        <v>4</v>
      </c>
      <c r="D18" s="49">
        <v>3</v>
      </c>
      <c r="E18" s="49">
        <v>2</v>
      </c>
      <c r="F18" s="49">
        <v>4</v>
      </c>
    </row>
    <row r="19" spans="1:6" ht="15" customHeight="1" x14ac:dyDescent="0.25">
      <c r="A19" s="16" t="s">
        <v>193</v>
      </c>
      <c r="B19" s="51">
        <v>0.1</v>
      </c>
      <c r="C19" s="49">
        <v>5</v>
      </c>
      <c r="D19" s="49">
        <v>4</v>
      </c>
      <c r="E19" s="49">
        <v>2</v>
      </c>
      <c r="F19" s="49">
        <v>4</v>
      </c>
    </row>
    <row r="20" spans="1:6" ht="15" customHeight="1" x14ac:dyDescent="0.25">
      <c r="A20" s="16" t="s">
        <v>194</v>
      </c>
      <c r="B20" s="51">
        <v>0.1</v>
      </c>
      <c r="C20" s="49">
        <v>3</v>
      </c>
      <c r="D20" s="49">
        <v>4</v>
      </c>
      <c r="E20" s="49">
        <v>4</v>
      </c>
      <c r="F20" s="49">
        <v>3</v>
      </c>
    </row>
    <row r="21" spans="1:6" ht="15" customHeight="1" x14ac:dyDescent="0.25">
      <c r="A21" s="16" t="s">
        <v>195</v>
      </c>
      <c r="B21" s="51">
        <v>0.05</v>
      </c>
      <c r="C21" s="49">
        <v>5</v>
      </c>
      <c r="D21" s="49">
        <v>3</v>
      </c>
      <c r="E21" s="49">
        <v>2</v>
      </c>
      <c r="F21" s="49">
        <v>3</v>
      </c>
    </row>
    <row r="22" spans="1:6" ht="15" customHeight="1" x14ac:dyDescent="0.25">
      <c r="A22" s="20" t="s">
        <v>196</v>
      </c>
      <c r="B22" s="52">
        <f>SUM(B15:B21)</f>
        <v>1</v>
      </c>
      <c r="C22" s="21"/>
      <c r="D22" s="21"/>
      <c r="E22" s="21"/>
      <c r="F22" s="21"/>
    </row>
    <row r="23" spans="1:6" ht="15" customHeight="1" x14ac:dyDescent="0.25">
      <c r="A23" s="42" t="s">
        <v>197</v>
      </c>
      <c r="B23" s="17"/>
      <c r="C23" s="53">
        <f>SUMPRODUCT($B$15:$B$21,C15:C21)*4</f>
        <v>17.600000000000001</v>
      </c>
      <c r="D23" s="53">
        <f>SUMPRODUCT($B$15:$B$21,D15:D21)*4</f>
        <v>16.400000000000002</v>
      </c>
      <c r="E23" s="53">
        <f>SUMPRODUCT($B$15:$B$21,E15:E21)*4</f>
        <v>11.6</v>
      </c>
      <c r="F23" s="53">
        <f>SUMPRODUCT($B$15:$B$21,F15:F21)*4</f>
        <v>10.999999999999998</v>
      </c>
    </row>
    <row r="24" spans="1:6" ht="15" customHeight="1" x14ac:dyDescent="0.25">
      <c r="A24" s="42" t="s">
        <v>198</v>
      </c>
      <c r="B24" s="17"/>
      <c r="C24" s="53">
        <f>IF(C11="YES",C23,0)</f>
        <v>17.600000000000001</v>
      </c>
      <c r="D24" s="53">
        <f>IF(D11="YES",D23,0)</f>
        <v>16.400000000000002</v>
      </c>
      <c r="E24" s="53">
        <f>IF(E11="YES",E23,0)</f>
        <v>0</v>
      </c>
      <c r="F24" s="53">
        <f>IF(F11="YES",F23,0)</f>
        <v>0</v>
      </c>
    </row>
    <row r="25" spans="1:6" ht="15" customHeight="1" x14ac:dyDescent="0.25">
      <c r="A25" s="42" t="s">
        <v>199</v>
      </c>
      <c r="B25" s="17"/>
      <c r="C25" s="54">
        <f>RANK(C24,$C$24:$F$24)</f>
        <v>1</v>
      </c>
      <c r="D25" s="54">
        <f>RANK(D24,$C$24:$F$24)</f>
        <v>2</v>
      </c>
      <c r="E25" s="54">
        <f>RANK(E24,$C$24:$F$24)</f>
        <v>3</v>
      </c>
      <c r="F25" s="54">
        <f>RANK(F24,$C$24:$F$24)</f>
        <v>3</v>
      </c>
    </row>
    <row r="26" spans="1:6" ht="21.75" customHeight="1" x14ac:dyDescent="0.25">
      <c r="A26" s="42" t="s">
        <v>200</v>
      </c>
      <c r="B26" s="17"/>
      <c r="C26" s="35" t="str">
        <f>IF(C25=1,"SELECTED",IF(C11="NO","Eliminated (FP4)","Not selected"))</f>
        <v>SELECTED</v>
      </c>
      <c r="D26" s="35" t="str">
        <f>IF(D25=1,"SELECTED",IF(D11="NO","Eliminated (FP4)","Not selected"))</f>
        <v>Not selected</v>
      </c>
      <c r="E26" s="35" t="str">
        <f>IF(E25=1,"SELECTED",IF(E11="NO","Eliminated (FP4)","Not selected"))</f>
        <v>Eliminated (FP4)</v>
      </c>
      <c r="F26" s="35" t="str">
        <f>IF(F25=1,"SELECTED",IF(F11="NO","Eliminated (FP4)","Not selected"))</f>
        <v>Eliminated (FP4)</v>
      </c>
    </row>
    <row r="28" spans="1:6" ht="61.5" customHeight="1" x14ac:dyDescent="0.25">
      <c r="A28" s="61"/>
      <c r="B28" s="61"/>
      <c r="C28" s="61"/>
      <c r="D28" s="61"/>
      <c r="E28" s="61"/>
      <c r="F28" s="61"/>
    </row>
  </sheetData>
  <mergeCells count="5">
    <mergeCell ref="A1:F1"/>
    <mergeCell ref="A2:F2"/>
    <mergeCell ref="A4:F4"/>
    <mergeCell ref="A13:F13"/>
    <mergeCell ref="A28:F28"/>
  </mergeCells>
  <conditionalFormatting sqref="C9:F11">
    <cfRule type="cellIs" dxfId="3" priority="2" operator="equal">
      <formula>"OUI"</formula>
    </cfRule>
    <cfRule type="cellIs" dxfId="2" priority="3" operator="equal">
      <formula>"NON"</formula>
    </cfRule>
  </conditionalFormatting>
  <pageMargins left="0.75" right="0.7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33"/>
  <sheetViews>
    <sheetView showGridLines="0" tabSelected="1" zoomScale="85" zoomScaleNormal="85" workbookViewId="0">
      <pane ySplit="3" topLeftCell="A4" activePane="bottomLeft" state="frozen"/>
      <selection pane="bottomLeft" activeCell="J18" sqref="J18"/>
    </sheetView>
  </sheetViews>
  <sheetFormatPr baseColWidth="10" defaultColWidth="8.7109375" defaultRowHeight="15" x14ac:dyDescent="0.25"/>
  <cols>
    <col min="1" max="1" width="46" customWidth="1"/>
    <col min="2" max="2" width="12" customWidth="1"/>
    <col min="3" max="3" width="20" customWidth="1"/>
    <col min="4" max="4" width="16" customWidth="1"/>
    <col min="5" max="5" width="18" customWidth="1"/>
    <col min="6" max="6" width="52" customWidth="1"/>
  </cols>
  <sheetData>
    <row r="1" spans="1:6" ht="17.25" customHeight="1" x14ac:dyDescent="0.25">
      <c r="A1" s="62" t="s">
        <v>201</v>
      </c>
      <c r="B1" s="62"/>
      <c r="C1" s="62"/>
      <c r="D1" s="62"/>
      <c r="E1" s="62"/>
      <c r="F1" s="62"/>
    </row>
    <row r="2" spans="1:6" ht="15" customHeight="1" x14ac:dyDescent="0.25">
      <c r="A2" s="13" t="s">
        <v>202</v>
      </c>
      <c r="B2" s="13"/>
      <c r="C2" s="13"/>
      <c r="D2" s="13"/>
      <c r="E2" s="13"/>
      <c r="F2" s="13"/>
    </row>
    <row r="4" spans="1:6" ht="19.5" customHeight="1" x14ac:dyDescent="0.25">
      <c r="A4" s="12" t="s">
        <v>203</v>
      </c>
      <c r="B4" s="12"/>
      <c r="C4" s="12"/>
      <c r="D4" s="12"/>
      <c r="E4" s="12"/>
      <c r="F4" s="12"/>
    </row>
    <row r="5" spans="1:6" ht="31.5" customHeight="1" x14ac:dyDescent="0.25">
      <c r="A5" s="15" t="s">
        <v>204</v>
      </c>
      <c r="B5" s="15" t="s">
        <v>44</v>
      </c>
      <c r="C5" s="11" t="s">
        <v>45</v>
      </c>
      <c r="D5" s="11"/>
      <c r="E5" s="11"/>
      <c r="F5" s="11"/>
    </row>
    <row r="6" spans="1:6" ht="15" customHeight="1" x14ac:dyDescent="0.25">
      <c r="A6" s="16" t="s">
        <v>205</v>
      </c>
      <c r="B6" s="55">
        <v>7.4</v>
      </c>
      <c r="C6" s="9" t="s">
        <v>206</v>
      </c>
      <c r="D6" s="9"/>
      <c r="E6" s="9"/>
      <c r="F6" s="9"/>
    </row>
    <row r="7" spans="1:6" ht="15" customHeight="1" x14ac:dyDescent="0.25">
      <c r="A7" s="16" t="s">
        <v>207</v>
      </c>
      <c r="B7" s="56">
        <v>500</v>
      </c>
      <c r="C7" s="9" t="s">
        <v>208</v>
      </c>
      <c r="D7" s="9"/>
      <c r="E7" s="9"/>
      <c r="F7" s="9"/>
    </row>
    <row r="8" spans="1:6" ht="15" customHeight="1" x14ac:dyDescent="0.25">
      <c r="A8" s="16" t="s">
        <v>209</v>
      </c>
      <c r="B8" s="51">
        <v>0.8</v>
      </c>
      <c r="C8" s="63" t="s">
        <v>210</v>
      </c>
      <c r="D8" s="63"/>
      <c r="E8" s="63"/>
      <c r="F8" s="63"/>
    </row>
    <row r="9" spans="1:6" ht="15" customHeight="1" x14ac:dyDescent="0.25">
      <c r="A9" s="16" t="s">
        <v>211</v>
      </c>
      <c r="B9" s="55">
        <v>5</v>
      </c>
      <c r="C9" s="9" t="s">
        <v>212</v>
      </c>
      <c r="D9" s="9"/>
      <c r="E9" s="9"/>
      <c r="F9" s="9"/>
    </row>
    <row r="10" spans="1:6" ht="15" customHeight="1" x14ac:dyDescent="0.25">
      <c r="A10" s="16" t="s">
        <v>213</v>
      </c>
      <c r="B10" s="51">
        <v>0.8</v>
      </c>
      <c r="C10" s="9" t="s">
        <v>214</v>
      </c>
      <c r="D10" s="9"/>
      <c r="E10" s="9"/>
      <c r="F10" s="9"/>
    </row>
    <row r="12" spans="1:6" ht="19.5" customHeight="1" x14ac:dyDescent="0.25">
      <c r="A12" s="12" t="s">
        <v>215</v>
      </c>
      <c r="B12" s="12"/>
      <c r="C12" s="12"/>
      <c r="D12" s="12"/>
      <c r="E12" s="12"/>
      <c r="F12" s="12"/>
    </row>
    <row r="13" spans="1:6" ht="31.5" customHeight="1" x14ac:dyDescent="0.25">
      <c r="A13" s="15" t="s">
        <v>216</v>
      </c>
      <c r="B13" s="15" t="s">
        <v>76</v>
      </c>
      <c r="C13" s="15" t="s">
        <v>217</v>
      </c>
      <c r="D13" s="15" t="s">
        <v>218</v>
      </c>
      <c r="E13" s="15" t="s">
        <v>219</v>
      </c>
      <c r="F13" s="15" t="s">
        <v>220</v>
      </c>
    </row>
    <row r="14" spans="1:6" ht="18" customHeight="1" x14ac:dyDescent="0.25">
      <c r="A14" s="16" t="s">
        <v>221</v>
      </c>
      <c r="B14" s="18">
        <v>1</v>
      </c>
      <c r="C14" s="49">
        <v>120</v>
      </c>
      <c r="D14" s="18" t="s">
        <v>222</v>
      </c>
      <c r="E14" s="53">
        <f t="shared" ref="E14:E20" si="0">B14*C14</f>
        <v>120</v>
      </c>
      <c r="F14" s="43" t="s">
        <v>223</v>
      </c>
    </row>
    <row r="15" spans="1:6" ht="18" customHeight="1" x14ac:dyDescent="0.25">
      <c r="A15" s="16" t="s">
        <v>224</v>
      </c>
      <c r="B15" s="18">
        <v>1</v>
      </c>
      <c r="C15" s="49">
        <v>20</v>
      </c>
      <c r="D15" s="18" t="s">
        <v>222</v>
      </c>
      <c r="E15" s="53">
        <f t="shared" si="0"/>
        <v>20</v>
      </c>
      <c r="F15" s="43" t="s">
        <v>225</v>
      </c>
    </row>
    <row r="16" spans="1:6" ht="18" customHeight="1" x14ac:dyDescent="0.25">
      <c r="A16" s="16" t="s">
        <v>226</v>
      </c>
      <c r="B16" s="18">
        <v>2</v>
      </c>
      <c r="C16" s="49">
        <v>1</v>
      </c>
      <c r="D16" s="18" t="s">
        <v>222</v>
      </c>
      <c r="E16" s="53">
        <f t="shared" si="0"/>
        <v>2</v>
      </c>
      <c r="F16" s="16" t="s">
        <v>227</v>
      </c>
    </row>
    <row r="17" spans="1:6" ht="18" customHeight="1" x14ac:dyDescent="0.25">
      <c r="A17" s="16" t="s">
        <v>27</v>
      </c>
      <c r="B17" s="18">
        <v>3</v>
      </c>
      <c r="C17" s="49">
        <v>0.5</v>
      </c>
      <c r="D17" s="18" t="s">
        <v>222</v>
      </c>
      <c r="E17" s="53">
        <f t="shared" si="0"/>
        <v>1.5</v>
      </c>
      <c r="F17" s="16" t="s">
        <v>228</v>
      </c>
    </row>
    <row r="18" spans="1:6" ht="18" customHeight="1" x14ac:dyDescent="0.25">
      <c r="A18" s="16" t="s">
        <v>29</v>
      </c>
      <c r="B18" s="18">
        <v>1</v>
      </c>
      <c r="C18" s="49">
        <v>0.5</v>
      </c>
      <c r="D18" s="18" t="s">
        <v>222</v>
      </c>
      <c r="E18" s="53">
        <f t="shared" si="0"/>
        <v>0.5</v>
      </c>
      <c r="F18" s="16" t="s">
        <v>228</v>
      </c>
    </row>
    <row r="19" spans="1:6" ht="18" customHeight="1" x14ac:dyDescent="0.25">
      <c r="A19" s="16" t="s">
        <v>33</v>
      </c>
      <c r="B19" s="18">
        <v>1</v>
      </c>
      <c r="C19" s="49">
        <v>10</v>
      </c>
      <c r="D19" s="18" t="s">
        <v>222</v>
      </c>
      <c r="E19" s="53">
        <f t="shared" si="0"/>
        <v>10</v>
      </c>
      <c r="F19" s="43" t="s">
        <v>229</v>
      </c>
    </row>
    <row r="20" spans="1:6" ht="18" customHeight="1" x14ac:dyDescent="0.25">
      <c r="A20" s="16" t="s">
        <v>39</v>
      </c>
      <c r="B20" s="18">
        <v>1</v>
      </c>
      <c r="C20" s="49">
        <v>10</v>
      </c>
      <c r="D20" s="18" t="s">
        <v>230</v>
      </c>
      <c r="E20" s="53">
        <f t="shared" si="0"/>
        <v>10</v>
      </c>
      <c r="F20" s="43" t="s">
        <v>231</v>
      </c>
    </row>
    <row r="23" spans="1:6" ht="19.5" customHeight="1" x14ac:dyDescent="0.25">
      <c r="A23" s="12" t="s">
        <v>232</v>
      </c>
      <c r="B23" s="12"/>
      <c r="C23" s="12"/>
      <c r="D23" s="12"/>
      <c r="E23" s="12"/>
      <c r="F23" s="12"/>
    </row>
    <row r="24" spans="1:6" ht="31.5" customHeight="1" x14ac:dyDescent="0.25">
      <c r="A24" s="15" t="s">
        <v>43</v>
      </c>
      <c r="B24" s="15" t="s">
        <v>44</v>
      </c>
      <c r="C24" s="11" t="s">
        <v>45</v>
      </c>
      <c r="D24" s="11"/>
      <c r="E24" s="11"/>
      <c r="F24" s="11"/>
    </row>
    <row r="25" spans="1:6" ht="18" customHeight="1" x14ac:dyDescent="0.25">
      <c r="A25" s="16" t="s">
        <v>233</v>
      </c>
      <c r="B25" s="53">
        <f>SUM(E14:E20)</f>
        <v>164</v>
      </c>
      <c r="C25" s="9" t="s">
        <v>234</v>
      </c>
      <c r="D25" s="9"/>
      <c r="E25" s="9"/>
      <c r="F25" s="9"/>
    </row>
    <row r="26" spans="1:6" ht="18" customHeight="1" x14ac:dyDescent="0.25">
      <c r="A26" s="16" t="s">
        <v>235</v>
      </c>
      <c r="B26" s="54">
        <f>B25*B9</f>
        <v>820</v>
      </c>
      <c r="C26" s="63" t="s">
        <v>236</v>
      </c>
      <c r="D26" s="63"/>
      <c r="E26" s="63"/>
      <c r="F26" s="63"/>
    </row>
    <row r="27" spans="1:6" ht="27.75" customHeight="1" x14ac:dyDescent="0.25">
      <c r="A27" s="16" t="s">
        <v>237</v>
      </c>
      <c r="B27" s="53">
        <f>B26/(B6*B10)</f>
        <v>138.51351351351349</v>
      </c>
      <c r="C27" s="63" t="s">
        <v>238</v>
      </c>
      <c r="D27" s="63"/>
      <c r="E27" s="63"/>
      <c r="F27" s="63"/>
    </row>
    <row r="28" spans="1:6" ht="18" customHeight="1" x14ac:dyDescent="0.25">
      <c r="A28" s="42" t="s">
        <v>239</v>
      </c>
      <c r="B28" s="57">
        <f>B7*B8/B27</f>
        <v>2.8878048780487808</v>
      </c>
      <c r="C28" s="63" t="s">
        <v>240</v>
      </c>
      <c r="D28" s="63"/>
      <c r="E28" s="63"/>
      <c r="F28" s="63"/>
    </row>
    <row r="29" spans="1:6" ht="18" customHeight="1" x14ac:dyDescent="0.25">
      <c r="A29" s="16" t="s">
        <v>241</v>
      </c>
      <c r="B29" s="56">
        <v>3000</v>
      </c>
      <c r="C29" s="9" t="s">
        <v>242</v>
      </c>
      <c r="D29" s="9"/>
      <c r="E29" s="9"/>
      <c r="F29" s="9"/>
    </row>
    <row r="30" spans="1:6" ht="18" customHeight="1" x14ac:dyDescent="0.25">
      <c r="A30" s="16" t="s">
        <v>243</v>
      </c>
      <c r="B30" s="53">
        <f>B6-B9</f>
        <v>2.4000000000000004</v>
      </c>
      <c r="C30" s="9" t="s">
        <v>244</v>
      </c>
      <c r="D30" s="9"/>
      <c r="E30" s="9"/>
      <c r="F30" s="9"/>
    </row>
    <row r="31" spans="1:6" ht="18" customHeight="1" x14ac:dyDescent="0.25">
      <c r="A31" s="16" t="s">
        <v>245</v>
      </c>
      <c r="B31" s="17" t="str">
        <f>IF(B30&gt;=2,"YES","NO")</f>
        <v>YES</v>
      </c>
      <c r="C31" s="63" t="s">
        <v>246</v>
      </c>
      <c r="D31" s="63"/>
      <c r="E31" s="63"/>
      <c r="F31" s="63"/>
    </row>
    <row r="33" spans="1:6" ht="27.75" customHeight="1" x14ac:dyDescent="0.25">
      <c r="A33" s="61"/>
      <c r="B33" s="61"/>
      <c r="C33" s="61"/>
      <c r="D33" s="61"/>
      <c r="E33" s="61"/>
      <c r="F33" s="61"/>
    </row>
  </sheetData>
  <mergeCells count="20">
    <mergeCell ref="C28:F28"/>
    <mergeCell ref="C29:F29"/>
    <mergeCell ref="C30:F30"/>
    <mergeCell ref="C31:F31"/>
    <mergeCell ref="A33:F33"/>
    <mergeCell ref="A23:F23"/>
    <mergeCell ref="C24:F24"/>
    <mergeCell ref="C25:F25"/>
    <mergeCell ref="C26:F26"/>
    <mergeCell ref="C27:F27"/>
    <mergeCell ref="C7:F7"/>
    <mergeCell ref="C8:F8"/>
    <mergeCell ref="C9:F9"/>
    <mergeCell ref="C10:F10"/>
    <mergeCell ref="A12:F12"/>
    <mergeCell ref="A1:F1"/>
    <mergeCell ref="A2:F2"/>
    <mergeCell ref="A4:F4"/>
    <mergeCell ref="C5:F5"/>
    <mergeCell ref="C6:F6"/>
  </mergeCells>
  <conditionalFormatting sqref="B31">
    <cfRule type="cellIs" dxfId="1" priority="2" operator="equal">
      <formula>"OUI"</formula>
    </cfRule>
    <cfRule type="cellIs" dxfId="0" priority="3" operator="equal">
      <formula>"NON"</formula>
    </cfRule>
  </conditionalFormatting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Requirements</vt:lpstr>
      <vt:lpstr>Component Selection</vt:lpstr>
      <vt:lpstr>Radio Comparison</vt:lpstr>
      <vt:lpstr>Energy Balance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Simon Drapeau</cp:lastModifiedBy>
  <cp:revision>0</cp:revision>
  <dcterms:created xsi:type="dcterms:W3CDTF">2026-09-23T16:29:06Z</dcterms:created>
  <dcterms:modified xsi:type="dcterms:W3CDTF">2026-09-24T18:18:35Z</dcterms:modified>
  <dc:language>en-US</dc:language>
</cp:coreProperties>
</file>