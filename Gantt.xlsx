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mis\Downloads\"/>
    </mc:Choice>
  </mc:AlternateContent>
  <xr:revisionPtr revIDLastSave="0" documentId="13_ncr:1_{D0E4B960-6DBA-420D-A44E-50303E9DC8B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" l="1"/>
  <c r="F12" i="1"/>
  <c r="F11" i="1"/>
  <c r="F9" i="1"/>
  <c r="F8" i="1"/>
  <c r="F30" i="1"/>
  <c r="F29" i="1"/>
  <c r="F26" i="1"/>
  <c r="F27" i="1"/>
  <c r="F25" i="1"/>
  <c r="F19" i="1"/>
  <c r="F7" i="1"/>
  <c r="F16" i="1"/>
  <c r="F31" i="1"/>
  <c r="F28" i="1"/>
  <c r="F24" i="1"/>
  <c r="F23" i="1"/>
  <c r="F22" i="1"/>
  <c r="F21" i="1"/>
  <c r="F20" i="1"/>
  <c r="F18" i="1"/>
  <c r="F15" i="1"/>
  <c r="F13" i="1"/>
  <c r="F10" i="1"/>
  <c r="F14" i="1"/>
  <c r="F6" i="1"/>
</calcChain>
</file>

<file path=xl/sharedStrings.xml><?xml version="1.0" encoding="utf-8"?>
<sst xmlns="http://schemas.openxmlformats.org/spreadsheetml/2006/main" count="59" uniqueCount="43">
  <si>
    <t>T0 Lancement : 03/09/26   |   T1 Audit : 06/10/26   |   T2 PDR : 20/11/26   |   T3 CDR + Mini salon : 08/01/27</t>
  </si>
  <si>
    <t>Phase</t>
  </si>
  <si>
    <t>Tâche</t>
  </si>
  <si>
    <t>Responsable</t>
  </si>
  <si>
    <t>Début</t>
  </si>
  <si>
    <t>Fin</t>
  </si>
  <si>
    <t>Durée (j)</t>
  </si>
  <si>
    <t>T0 — Lancement du projet</t>
  </si>
  <si>
    <t>Phase A — Cadrage &amp; analyse</t>
  </si>
  <si>
    <t>Rédiger le rapport technique T1 (Audit)</t>
  </si>
  <si>
    <t>T1 — Audit</t>
  </si>
  <si>
    <t>Phase B — Conception &amp; solutions techniques</t>
  </si>
  <si>
    <t>Avancer la conception mécanique 3D du système (dimensionnement, architecture)</t>
  </si>
  <si>
    <t>Justifier les solutions techniques retenues + volet RSE</t>
  </si>
  <si>
    <t>Revue préliminaire des HVA + mise à jour du rapport technique (PDR)</t>
  </si>
  <si>
    <t>T2 — PDR</t>
  </si>
  <si>
    <t>Phase C — Intégration &amp; validation HVA</t>
  </si>
  <si>
    <t>Fabriquer / assembler le système (mécanique + électronique)</t>
  </si>
  <si>
    <t>Développer et intégrer les fonctions HVA retenues</t>
  </si>
  <si>
    <t>Tester chaque fonction par rapport aux exigences (matrice de conformité)</t>
  </si>
  <si>
    <t>Résoudre les défauts identifiés</t>
  </si>
  <si>
    <t>Préparer la démonstration des HVA (CDR) + vidéo marketing (anglais) pour le mini salon</t>
  </si>
  <si>
    <t>Rédiger le rapport technique final S1 + auto-évaluation</t>
  </si>
  <si>
    <t>T3 — CDR + Mini salon</t>
  </si>
  <si>
    <t>Détailler le Gantt de la phase T1</t>
  </si>
  <si>
    <t>Gantt Gyrobot</t>
  </si>
  <si>
    <t>Tous</t>
  </si>
  <si>
    <t>À définir</t>
  </si>
  <si>
    <t>Identifier les fonctions HVA du projet</t>
  </si>
  <si>
    <t>Mettre à jour GitLab</t>
  </si>
  <si>
    <t>Générer et évaluer des solutions techniques pour chaque fonction</t>
  </si>
  <si>
    <t>Sélectionner et commander les composants nécessaires</t>
  </si>
  <si>
    <t>Détailler le Gantt de la phase T2</t>
  </si>
  <si>
    <t>Faire le ReadMe</t>
  </si>
  <si>
    <t>Faire les differents diagrammes</t>
  </si>
  <si>
    <t>Approche RSE</t>
  </si>
  <si>
    <t>Faire le PPT (chemin critique)</t>
  </si>
  <si>
    <t>Cahier des charges</t>
  </si>
  <si>
    <t>Simon</t>
  </si>
  <si>
    <t>Maud</t>
  </si>
  <si>
    <t>Issam</t>
  </si>
  <si>
    <t>Alexandre</t>
  </si>
  <si>
    <t>Choix des composants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</si>
</sst>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1"/>
      <color rgb="FF404040"/>
      <name val="Arial"/>
      <charset val="1"/>
    </font>
    <font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BFBFBF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textRotation="90"/>
    </xf>
    <xf numFmtId="164" fontId="5" fillId="4" borderId="1" xfId="0" applyNumberFormat="1" applyFont="1" applyFill="1" applyBorder="1" applyAlignment="1">
      <alignment horizontal="center" vertical="center" textRotation="90"/>
    </xf>
    <xf numFmtId="0" fontId="0" fillId="5" borderId="1" xfId="0" applyFill="1" applyBorder="1"/>
    <xf numFmtId="0" fontId="2" fillId="5" borderId="1" xfId="0" applyFont="1" applyFill="1" applyBorder="1"/>
    <xf numFmtId="165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wrapText="1"/>
    </xf>
    <xf numFmtId="0" fontId="2" fillId="8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vertical="center" textRotation="90" wrapText="1"/>
    </xf>
  </cellXfs>
  <cellStyles count="1">
    <cellStyle name="Normal" xfId="0" builtinId="0"/>
  </cellStyles>
  <dxfs count="2">
    <dxf>
      <fill>
        <patternFill>
          <bgColor rgb="FF2E75B6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196850</xdr:colOff>
      <xdr:row>8</xdr:row>
      <xdr:rowOff>101600</xdr:rowOff>
    </xdr:from>
    <xdr:to>
      <xdr:col>10</xdr:col>
      <xdr:colOff>65484</xdr:colOff>
      <xdr:row>12</xdr:row>
      <xdr:rowOff>107156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E16A9E83-720A-6928-D4AB-A9CC81B3F513}"/>
            </a:ext>
          </a:extLst>
        </xdr:cNvPr>
        <xdr:cNvCxnSpPr/>
      </xdr:nvCxnSpPr>
      <xdr:spPr>
        <a:xfrm>
          <a:off x="9936163" y="2232819"/>
          <a:ext cx="184149" cy="719931"/>
        </a:xfrm>
        <a:prstGeom prst="straightConnector1">
          <a:avLst/>
        </a:prstGeom>
        <a:ln w="3810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8</xdr:row>
      <xdr:rowOff>95250</xdr:rowOff>
    </xdr:from>
    <xdr:to>
      <xdr:col>15</xdr:col>
      <xdr:colOff>95250</xdr:colOff>
      <xdr:row>13</xdr:row>
      <xdr:rowOff>104775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F10B409D-C561-B463-1064-DAD2A8BD644E}"/>
            </a:ext>
          </a:extLst>
        </xdr:cNvPr>
        <xdr:cNvCxnSpPr/>
      </xdr:nvCxnSpPr>
      <xdr:spPr>
        <a:xfrm>
          <a:off x="10810875" y="2238375"/>
          <a:ext cx="91440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8</xdr:row>
      <xdr:rowOff>123825</xdr:rowOff>
    </xdr:from>
    <xdr:to>
      <xdr:col>10</xdr:col>
      <xdr:colOff>35719</xdr:colOff>
      <xdr:row>13</xdr:row>
      <xdr:rowOff>136921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4BE8F536-4221-4759-ABAF-F1C30E67D3FF}"/>
            </a:ext>
          </a:extLst>
        </xdr:cNvPr>
        <xdr:cNvCxnSpPr/>
      </xdr:nvCxnSpPr>
      <xdr:spPr>
        <a:xfrm>
          <a:off x="9948863" y="2255044"/>
          <a:ext cx="141684" cy="906065"/>
        </a:xfrm>
        <a:prstGeom prst="straightConnector1">
          <a:avLst/>
        </a:prstGeom>
        <a:ln w="3810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201613</xdr:colOff>
      <xdr:row>8</xdr:row>
      <xdr:rowOff>111919</xdr:rowOff>
    </xdr:from>
    <xdr:to>
      <xdr:col>10</xdr:col>
      <xdr:colOff>28575</xdr:colOff>
      <xdr:row>16</xdr:row>
      <xdr:rowOff>161925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37B8E5EF-9C59-4691-8A54-6A3F7BBFC3E9}"/>
            </a:ext>
          </a:extLst>
        </xdr:cNvPr>
        <xdr:cNvCxnSpPr/>
      </xdr:nvCxnSpPr>
      <xdr:spPr>
        <a:xfrm>
          <a:off x="9945688" y="2255044"/>
          <a:ext cx="141287" cy="1497806"/>
        </a:xfrm>
        <a:prstGeom prst="straightConnector1">
          <a:avLst/>
        </a:prstGeom>
        <a:ln w="3810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B17" sqref="AB17"/>
    </sheetView>
  </sheetViews>
  <sheetFormatPr baseColWidth="10" defaultColWidth="8.7265625" defaultRowHeight="14.5" x14ac:dyDescent="0.35"/>
  <cols>
    <col min="1" max="1" width="8" customWidth="1"/>
    <col min="2" max="2" width="81.1796875" customWidth="1"/>
    <col min="3" max="3" width="12.90625" bestFit="1" customWidth="1"/>
    <col min="4" max="5" width="8.7265625" bestFit="1" customWidth="1"/>
    <col min="6" max="6" width="6.36328125" bestFit="1" customWidth="1"/>
    <col min="7" max="26" width="4.453125" customWidth="1"/>
  </cols>
  <sheetData>
    <row r="1" spans="1:26" ht="24" customHeight="1" x14ac:dyDescent="0.35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3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7.75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5" spans="1:26" ht="45.75" customHeight="1" x14ac:dyDescent="0.3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2">
        <v>46265</v>
      </c>
      <c r="H5" s="2">
        <v>46272</v>
      </c>
      <c r="I5" s="2">
        <v>46279</v>
      </c>
      <c r="J5" s="2">
        <v>46286</v>
      </c>
      <c r="K5" s="2">
        <v>46293</v>
      </c>
      <c r="L5" s="2">
        <v>46300</v>
      </c>
      <c r="M5" s="2">
        <v>46307</v>
      </c>
      <c r="N5" s="2">
        <v>46314</v>
      </c>
      <c r="O5" s="3">
        <v>46321</v>
      </c>
      <c r="P5" s="2">
        <v>46328</v>
      </c>
      <c r="Q5" s="2">
        <v>46335</v>
      </c>
      <c r="R5" s="2">
        <v>46342</v>
      </c>
      <c r="S5" s="2">
        <v>46349</v>
      </c>
      <c r="T5" s="2">
        <v>46356</v>
      </c>
      <c r="U5" s="2">
        <v>46363</v>
      </c>
      <c r="V5" s="2">
        <v>46370</v>
      </c>
      <c r="W5" s="3">
        <v>46377</v>
      </c>
      <c r="X5" s="3">
        <v>46384</v>
      </c>
      <c r="Y5" s="2">
        <v>46391</v>
      </c>
      <c r="Z5" s="2">
        <v>46398</v>
      </c>
    </row>
    <row r="6" spans="1:26" x14ac:dyDescent="0.35">
      <c r="A6" s="4"/>
      <c r="B6" s="5" t="s">
        <v>7</v>
      </c>
      <c r="C6" s="4"/>
      <c r="D6" s="6">
        <v>46268</v>
      </c>
      <c r="E6" s="6">
        <v>46268</v>
      </c>
      <c r="F6" s="7">
        <f t="shared" ref="F6:F31" si="0">E6-D6+1</f>
        <v>1</v>
      </c>
      <c r="G6" s="8"/>
      <c r="H6" s="8"/>
      <c r="I6" s="8"/>
      <c r="J6" s="8"/>
      <c r="K6" s="8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9"/>
      <c r="X6" s="9"/>
      <c r="Y6" s="8"/>
      <c r="Z6" s="8"/>
    </row>
    <row r="7" spans="1:26" ht="14.5" customHeight="1" x14ac:dyDescent="0.35">
      <c r="A7" s="19" t="s">
        <v>8</v>
      </c>
      <c r="B7" s="10" t="s">
        <v>29</v>
      </c>
      <c r="C7" s="11" t="s">
        <v>26</v>
      </c>
      <c r="D7" s="12">
        <v>46268</v>
      </c>
      <c r="E7" s="12">
        <v>46300</v>
      </c>
      <c r="F7" s="13">
        <f>E7-D7+1</f>
        <v>33</v>
      </c>
      <c r="G7" s="8"/>
      <c r="H7" s="8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8"/>
      <c r="U7" s="8"/>
      <c r="V7" s="8"/>
      <c r="W7" s="9"/>
      <c r="X7" s="9"/>
      <c r="Y7" s="8"/>
      <c r="Z7" s="8"/>
    </row>
    <row r="8" spans="1:26" x14ac:dyDescent="0.35">
      <c r="A8" s="19"/>
      <c r="B8" s="10" t="s">
        <v>33</v>
      </c>
      <c r="C8" s="11" t="s">
        <v>38</v>
      </c>
      <c r="D8" s="12">
        <v>46268</v>
      </c>
      <c r="E8" s="12">
        <v>46273</v>
      </c>
      <c r="F8" s="13">
        <f>E8-D8+1</f>
        <v>6</v>
      </c>
      <c r="G8" s="8"/>
      <c r="H8" s="8"/>
      <c r="I8" s="8"/>
      <c r="J8" s="8"/>
      <c r="K8" s="8"/>
      <c r="L8" s="8"/>
      <c r="M8" s="8"/>
      <c r="N8" s="8"/>
      <c r="O8" s="9"/>
      <c r="P8" s="8"/>
      <c r="Q8" s="8"/>
      <c r="R8" s="8"/>
      <c r="S8" s="8"/>
      <c r="T8" s="8"/>
      <c r="U8" s="8"/>
      <c r="V8" s="8"/>
      <c r="W8" s="9"/>
      <c r="X8" s="9"/>
      <c r="Y8" s="8"/>
      <c r="Z8" s="8"/>
    </row>
    <row r="9" spans="1:26" x14ac:dyDescent="0.35">
      <c r="A9" s="19"/>
      <c r="B9" s="10" t="s">
        <v>34</v>
      </c>
      <c r="C9" s="11" t="s">
        <v>26</v>
      </c>
      <c r="D9" s="12">
        <v>46269</v>
      </c>
      <c r="E9" s="12">
        <v>46287</v>
      </c>
      <c r="F9" s="13">
        <f>E9-D9+1</f>
        <v>19</v>
      </c>
      <c r="G9" s="8"/>
      <c r="H9" s="8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8"/>
      <c r="U9" s="8"/>
      <c r="V9" s="8"/>
      <c r="W9" s="9"/>
      <c r="X9" s="9"/>
      <c r="Y9" s="8"/>
      <c r="Z9" s="8"/>
    </row>
    <row r="10" spans="1:26" x14ac:dyDescent="0.35">
      <c r="A10" s="19"/>
      <c r="B10" s="10" t="s">
        <v>28</v>
      </c>
      <c r="C10" s="11" t="s">
        <v>26</v>
      </c>
      <c r="D10" s="12">
        <v>46280</v>
      </c>
      <c r="E10" s="12">
        <v>46294</v>
      </c>
      <c r="F10" s="13">
        <f>E10-D10+1</f>
        <v>15</v>
      </c>
      <c r="G10" s="8"/>
      <c r="H10" s="8"/>
      <c r="I10" s="8"/>
      <c r="J10" s="8"/>
      <c r="K10" s="8"/>
      <c r="L10" s="8"/>
      <c r="M10" s="8"/>
      <c r="N10" s="8"/>
      <c r="O10" s="9"/>
      <c r="P10" s="8"/>
      <c r="Q10" s="8"/>
      <c r="R10" s="8"/>
      <c r="S10" s="8"/>
      <c r="T10" s="8"/>
      <c r="U10" s="8"/>
      <c r="V10" s="8"/>
      <c r="W10" s="9"/>
      <c r="X10" s="9"/>
      <c r="Y10" s="8"/>
      <c r="Z10" s="8"/>
    </row>
    <row r="11" spans="1:26" x14ac:dyDescent="0.35">
      <c r="A11" s="19"/>
      <c r="B11" s="10" t="s">
        <v>37</v>
      </c>
      <c r="C11" s="11" t="s">
        <v>40</v>
      </c>
      <c r="D11" s="12">
        <v>46286</v>
      </c>
      <c r="E11" s="12">
        <v>46295</v>
      </c>
      <c r="F11" s="13">
        <f>E11-D11+1</f>
        <v>10</v>
      </c>
      <c r="G11" s="8"/>
      <c r="H11" s="8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8"/>
      <c r="W11" s="9"/>
      <c r="X11" s="9"/>
      <c r="Y11" s="8"/>
      <c r="Z11" s="8"/>
    </row>
    <row r="12" spans="1:26" x14ac:dyDescent="0.35">
      <c r="A12" s="19"/>
      <c r="B12" s="10" t="s">
        <v>35</v>
      </c>
      <c r="C12" s="11" t="s">
        <v>39</v>
      </c>
      <c r="D12" s="12">
        <v>46295</v>
      </c>
      <c r="E12" s="12">
        <v>46299</v>
      </c>
      <c r="F12" s="13">
        <f>E12-D12+1</f>
        <v>5</v>
      </c>
      <c r="G12" s="8"/>
      <c r="H12" s="8"/>
      <c r="I12" s="8"/>
      <c r="J12" s="8"/>
      <c r="K12" s="8"/>
      <c r="L12" s="8"/>
      <c r="M12" s="8"/>
      <c r="N12" s="8"/>
      <c r="O12" s="9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</row>
    <row r="13" spans="1:26" x14ac:dyDescent="0.35">
      <c r="A13" s="19"/>
      <c r="B13" s="10" t="s">
        <v>9</v>
      </c>
      <c r="C13" s="11" t="s">
        <v>41</v>
      </c>
      <c r="D13" s="12">
        <v>46293</v>
      </c>
      <c r="E13" s="12">
        <v>46300</v>
      </c>
      <c r="F13" s="13">
        <f>E13-D13+1</f>
        <v>8</v>
      </c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9"/>
      <c r="X13" s="9"/>
      <c r="Y13" s="8"/>
      <c r="Z13" s="8"/>
    </row>
    <row r="14" spans="1:26" x14ac:dyDescent="0.35">
      <c r="A14" s="19"/>
      <c r="B14" s="10" t="s">
        <v>36</v>
      </c>
      <c r="C14" s="11" t="s">
        <v>26</v>
      </c>
      <c r="D14" s="12">
        <v>46295</v>
      </c>
      <c r="E14" s="12">
        <v>46300</v>
      </c>
      <c r="F14" s="13">
        <f t="shared" si="0"/>
        <v>6</v>
      </c>
      <c r="G14" s="8"/>
      <c r="H14" s="8"/>
      <c r="I14" s="8"/>
      <c r="J14" s="8"/>
      <c r="K14" s="8"/>
      <c r="L14" s="8"/>
      <c r="M14" s="8"/>
      <c r="N14" s="8"/>
      <c r="O14" s="9"/>
      <c r="P14" s="8"/>
      <c r="Q14" s="8"/>
      <c r="R14" s="8"/>
      <c r="S14" s="8"/>
      <c r="T14" s="8"/>
      <c r="U14" s="8"/>
      <c r="V14" s="8"/>
      <c r="W14" s="9"/>
      <c r="X14" s="9"/>
      <c r="Y14" s="8"/>
      <c r="Z14" s="8"/>
    </row>
    <row r="15" spans="1:26" x14ac:dyDescent="0.35">
      <c r="A15" s="4"/>
      <c r="B15" s="5" t="s">
        <v>10</v>
      </c>
      <c r="C15" s="4"/>
      <c r="D15" s="6">
        <v>46301</v>
      </c>
      <c r="E15" s="6">
        <v>46301</v>
      </c>
      <c r="F15" s="7">
        <f t="shared" si="0"/>
        <v>1</v>
      </c>
      <c r="G15" s="8"/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8"/>
      <c r="W15" s="9"/>
      <c r="X15" s="9"/>
      <c r="Y15" s="8"/>
      <c r="Z15" s="8"/>
    </row>
    <row r="16" spans="1:26" x14ac:dyDescent="0.35">
      <c r="A16" s="18" t="s">
        <v>11</v>
      </c>
      <c r="B16" s="10" t="s">
        <v>24</v>
      </c>
      <c r="C16" s="11" t="s">
        <v>27</v>
      </c>
      <c r="D16" s="12">
        <v>46301</v>
      </c>
      <c r="E16" s="12">
        <v>46302</v>
      </c>
      <c r="F16" s="13">
        <f>E16-D16+1</f>
        <v>2</v>
      </c>
      <c r="G16" s="8"/>
      <c r="H16" s="8"/>
      <c r="I16" s="8"/>
      <c r="J16" s="8"/>
      <c r="K16" s="8"/>
      <c r="L16" s="8"/>
      <c r="M16" s="8"/>
      <c r="N16" s="8"/>
      <c r="O16" s="9"/>
      <c r="P16" s="8"/>
      <c r="Q16" s="8"/>
      <c r="R16" s="8"/>
      <c r="S16" s="8"/>
      <c r="T16" s="8"/>
      <c r="U16" s="8"/>
      <c r="V16" s="8"/>
      <c r="W16" s="9"/>
      <c r="X16" s="9"/>
      <c r="Y16" s="8"/>
      <c r="Z16" s="8"/>
    </row>
    <row r="17" spans="1:26" x14ac:dyDescent="0.35">
      <c r="A17" s="18"/>
      <c r="B17" s="10" t="s">
        <v>42</v>
      </c>
      <c r="C17" s="11" t="s">
        <v>27</v>
      </c>
      <c r="D17" s="12">
        <v>46294</v>
      </c>
      <c r="E17" s="12">
        <v>46310</v>
      </c>
      <c r="F17" s="13">
        <f>E17-D17+1</f>
        <v>17</v>
      </c>
      <c r="G17" s="8"/>
      <c r="H17" s="8"/>
      <c r="I17" s="8"/>
      <c r="J17" s="8"/>
      <c r="K17" s="8"/>
      <c r="L17" s="8"/>
      <c r="M17" s="8"/>
      <c r="N17" s="8"/>
      <c r="O17" s="9"/>
      <c r="P17" s="8"/>
      <c r="Q17" s="8"/>
      <c r="R17" s="8"/>
      <c r="S17" s="8"/>
      <c r="T17" s="8"/>
      <c r="U17" s="8"/>
      <c r="V17" s="8"/>
      <c r="W17" s="9"/>
      <c r="X17" s="9"/>
      <c r="Y17" s="8"/>
      <c r="Z17" s="8"/>
    </row>
    <row r="18" spans="1:26" ht="15" customHeight="1" x14ac:dyDescent="0.35">
      <c r="A18" s="18"/>
      <c r="B18" s="10" t="s">
        <v>30</v>
      </c>
      <c r="C18" s="11" t="s">
        <v>27</v>
      </c>
      <c r="D18" s="12">
        <v>46301</v>
      </c>
      <c r="E18" s="12">
        <v>46314</v>
      </c>
      <c r="F18" s="13">
        <f t="shared" si="0"/>
        <v>14</v>
      </c>
      <c r="G18" s="8"/>
      <c r="H18" s="8"/>
      <c r="I18" s="8"/>
      <c r="J18" s="8"/>
      <c r="K18" s="8"/>
      <c r="L18" s="8"/>
      <c r="M18" s="8"/>
      <c r="N18" s="8"/>
      <c r="O18" s="9"/>
      <c r="P18" s="8"/>
      <c r="Q18" s="8"/>
      <c r="R18" s="8"/>
      <c r="S18" s="8"/>
      <c r="T18" s="8"/>
      <c r="U18" s="8"/>
      <c r="V18" s="8"/>
      <c r="W18" s="9"/>
      <c r="X18" s="9"/>
      <c r="Y18" s="8"/>
      <c r="Z18" s="8"/>
    </row>
    <row r="19" spans="1:26" x14ac:dyDescent="0.35">
      <c r="A19" s="18"/>
      <c r="B19" s="10" t="s">
        <v>12</v>
      </c>
      <c r="C19" s="11" t="s">
        <v>27</v>
      </c>
      <c r="D19" s="12">
        <v>46301</v>
      </c>
      <c r="E19" s="12">
        <v>46329</v>
      </c>
      <c r="F19" s="13">
        <f>E19-D19+1-7</f>
        <v>22</v>
      </c>
      <c r="G19" s="8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8"/>
      <c r="W19" s="9"/>
      <c r="X19" s="9"/>
      <c r="Y19" s="8"/>
      <c r="Z19" s="8"/>
    </row>
    <row r="20" spans="1:26" x14ac:dyDescent="0.35">
      <c r="A20" s="18"/>
      <c r="B20" s="10" t="s">
        <v>31</v>
      </c>
      <c r="C20" s="11" t="s">
        <v>27</v>
      </c>
      <c r="D20" s="12">
        <v>46308</v>
      </c>
      <c r="E20" s="12">
        <v>46314</v>
      </c>
      <c r="F20" s="13">
        <f t="shared" si="0"/>
        <v>7</v>
      </c>
      <c r="G20" s="8"/>
      <c r="H20" s="8"/>
      <c r="I20" s="8"/>
      <c r="J20" s="8"/>
      <c r="K20" s="8"/>
      <c r="L20" s="8"/>
      <c r="M20" s="8"/>
      <c r="N20" s="8"/>
      <c r="O20" s="9"/>
      <c r="P20" s="8"/>
      <c r="Q20" s="8"/>
      <c r="R20" s="8"/>
      <c r="S20" s="8"/>
      <c r="T20" s="8"/>
      <c r="U20" s="8"/>
      <c r="V20" s="8"/>
      <c r="W20" s="9"/>
      <c r="X20" s="9"/>
      <c r="Y20" s="8"/>
      <c r="Z20" s="8"/>
    </row>
    <row r="21" spans="1:26" x14ac:dyDescent="0.35">
      <c r="A21" s="18"/>
      <c r="B21" s="10" t="s">
        <v>13</v>
      </c>
      <c r="C21" s="11" t="s">
        <v>27</v>
      </c>
      <c r="D21" s="12">
        <v>46329</v>
      </c>
      <c r="E21" s="12">
        <v>46345</v>
      </c>
      <c r="F21" s="13">
        <f t="shared" si="0"/>
        <v>17</v>
      </c>
      <c r="G21" s="8"/>
      <c r="H21" s="8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8"/>
      <c r="W21" s="9"/>
      <c r="X21" s="9"/>
      <c r="Y21" s="8"/>
      <c r="Z21" s="8"/>
    </row>
    <row r="22" spans="1:26" x14ac:dyDescent="0.35">
      <c r="A22" s="18"/>
      <c r="B22" s="10" t="s">
        <v>14</v>
      </c>
      <c r="C22" s="11" t="s">
        <v>27</v>
      </c>
      <c r="D22" s="12">
        <v>46328</v>
      </c>
      <c r="E22" s="12">
        <v>46346</v>
      </c>
      <c r="F22" s="13">
        <f t="shared" si="0"/>
        <v>19</v>
      </c>
      <c r="G22" s="8"/>
      <c r="H22" s="8"/>
      <c r="I22" s="8"/>
      <c r="J22" s="8"/>
      <c r="K22" s="8"/>
      <c r="L22" s="8"/>
      <c r="M22" s="8"/>
      <c r="N22" s="8"/>
      <c r="O22" s="9"/>
      <c r="P22" s="8"/>
      <c r="Q22" s="8"/>
      <c r="R22" s="8"/>
      <c r="S22" s="8"/>
      <c r="T22" s="8"/>
      <c r="U22" s="8"/>
      <c r="V22" s="8"/>
      <c r="W22" s="9"/>
      <c r="X22" s="9"/>
      <c r="Y22" s="8"/>
      <c r="Z22" s="8"/>
    </row>
    <row r="23" spans="1:26" x14ac:dyDescent="0.35">
      <c r="A23" s="4"/>
      <c r="B23" s="5" t="s">
        <v>15</v>
      </c>
      <c r="C23" s="4"/>
      <c r="D23" s="6">
        <v>46346</v>
      </c>
      <c r="E23" s="6">
        <v>46346</v>
      </c>
      <c r="F23" s="7">
        <f t="shared" si="0"/>
        <v>1</v>
      </c>
      <c r="G23" s="8"/>
      <c r="H23" s="8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8"/>
      <c r="W23" s="9"/>
      <c r="X23" s="9"/>
      <c r="Y23" s="8"/>
      <c r="Z23" s="8"/>
    </row>
    <row r="24" spans="1:26" x14ac:dyDescent="0.35">
      <c r="A24" s="15" t="s">
        <v>16</v>
      </c>
      <c r="B24" s="10" t="s">
        <v>32</v>
      </c>
      <c r="C24" s="11" t="s">
        <v>27</v>
      </c>
      <c r="D24" s="12">
        <v>46346</v>
      </c>
      <c r="E24" s="12">
        <v>46347</v>
      </c>
      <c r="F24" s="13">
        <f t="shared" si="0"/>
        <v>2</v>
      </c>
      <c r="G24" s="8"/>
      <c r="H24" s="8"/>
      <c r="I24" s="8"/>
      <c r="J24" s="8"/>
      <c r="K24" s="8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9"/>
      <c r="X24" s="9"/>
      <c r="Y24" s="8"/>
      <c r="Z24" s="8"/>
    </row>
    <row r="25" spans="1:26" x14ac:dyDescent="0.35">
      <c r="A25" s="15"/>
      <c r="B25" s="10" t="s">
        <v>17</v>
      </c>
      <c r="C25" s="11" t="s">
        <v>27</v>
      </c>
      <c r="D25" s="12">
        <v>46349</v>
      </c>
      <c r="E25" s="12">
        <v>46391</v>
      </c>
      <c r="F25" s="13">
        <f>E25-D25+1-14</f>
        <v>29</v>
      </c>
      <c r="G25" s="8"/>
      <c r="H25" s="8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8"/>
      <c r="W25" s="9"/>
      <c r="X25" s="9"/>
      <c r="Y25" s="8"/>
      <c r="Z25" s="8"/>
    </row>
    <row r="26" spans="1:26" x14ac:dyDescent="0.35">
      <c r="A26" s="15"/>
      <c r="B26" s="10" t="s">
        <v>18</v>
      </c>
      <c r="C26" s="11" t="s">
        <v>27</v>
      </c>
      <c r="D26" s="12">
        <v>46350</v>
      </c>
      <c r="E26" s="12">
        <v>46392</v>
      </c>
      <c r="F26" s="13">
        <f t="shared" ref="F26:F27" si="1">E26-D26+1-14</f>
        <v>29</v>
      </c>
      <c r="G26" s="8"/>
      <c r="H26" s="8"/>
      <c r="I26" s="8"/>
      <c r="J26" s="8"/>
      <c r="K26" s="8"/>
      <c r="L26" s="8"/>
      <c r="M26" s="8"/>
      <c r="N26" s="8"/>
      <c r="O26" s="9"/>
      <c r="P26" s="8"/>
      <c r="Q26" s="8"/>
      <c r="R26" s="8"/>
      <c r="S26" s="8"/>
      <c r="T26" s="8"/>
      <c r="U26" s="8"/>
      <c r="V26" s="8"/>
      <c r="W26" s="9"/>
      <c r="X26" s="9"/>
      <c r="Y26" s="8"/>
      <c r="Z26" s="8"/>
    </row>
    <row r="27" spans="1:26" x14ac:dyDescent="0.35">
      <c r="A27" s="15"/>
      <c r="B27" s="10" t="s">
        <v>19</v>
      </c>
      <c r="C27" s="11" t="s">
        <v>27</v>
      </c>
      <c r="D27" s="12">
        <v>46371</v>
      </c>
      <c r="E27" s="12">
        <v>46392</v>
      </c>
      <c r="F27" s="13">
        <f t="shared" si="1"/>
        <v>8</v>
      </c>
      <c r="G27" s="8"/>
      <c r="H27" s="8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8"/>
      <c r="W27" s="9"/>
      <c r="X27" s="9"/>
      <c r="Y27" s="8"/>
      <c r="Z27" s="8"/>
    </row>
    <row r="28" spans="1:26" x14ac:dyDescent="0.35">
      <c r="A28" s="15"/>
      <c r="B28" s="10" t="s">
        <v>20</v>
      </c>
      <c r="C28" s="11" t="s">
        <v>27</v>
      </c>
      <c r="D28" s="12">
        <v>46391</v>
      </c>
      <c r="E28" s="12">
        <v>46394</v>
      </c>
      <c r="F28" s="13">
        <f t="shared" si="0"/>
        <v>4</v>
      </c>
      <c r="G28" s="8"/>
      <c r="H28" s="8"/>
      <c r="I28" s="8"/>
      <c r="J28" s="8"/>
      <c r="K28" s="8"/>
      <c r="L28" s="8"/>
      <c r="M28" s="8"/>
      <c r="N28" s="8"/>
      <c r="O28" s="9"/>
      <c r="P28" s="8"/>
      <c r="Q28" s="8"/>
      <c r="R28" s="8"/>
      <c r="S28" s="8"/>
      <c r="T28" s="8"/>
      <c r="U28" s="8"/>
      <c r="V28" s="8"/>
      <c r="W28" s="9"/>
      <c r="X28" s="9"/>
      <c r="Y28" s="8"/>
      <c r="Z28" s="8"/>
    </row>
    <row r="29" spans="1:26" x14ac:dyDescent="0.35">
      <c r="A29" s="15"/>
      <c r="B29" s="10" t="s">
        <v>21</v>
      </c>
      <c r="C29" s="11" t="s">
        <v>27</v>
      </c>
      <c r="D29" s="12">
        <v>46371</v>
      </c>
      <c r="E29" s="12">
        <v>46394</v>
      </c>
      <c r="F29" s="13">
        <f>E29-D29+1-14</f>
        <v>10</v>
      </c>
      <c r="G29" s="8"/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8"/>
      <c r="W29" s="9"/>
      <c r="X29" s="9"/>
      <c r="Y29" s="8"/>
      <c r="Z29" s="8"/>
    </row>
    <row r="30" spans="1:26" x14ac:dyDescent="0.35">
      <c r="A30" s="15"/>
      <c r="B30" s="10" t="s">
        <v>22</v>
      </c>
      <c r="C30" s="11" t="s">
        <v>27</v>
      </c>
      <c r="D30" s="12">
        <v>46371</v>
      </c>
      <c r="E30" s="12">
        <v>46394</v>
      </c>
      <c r="F30" s="13">
        <f>E30-D30+1-14</f>
        <v>10</v>
      </c>
      <c r="G30" s="8"/>
      <c r="H30" s="8"/>
      <c r="I30" s="8"/>
      <c r="J30" s="8"/>
      <c r="K30" s="8"/>
      <c r="L30" s="8"/>
      <c r="M30" s="8"/>
      <c r="N30" s="8"/>
      <c r="O30" s="9"/>
      <c r="P30" s="8"/>
      <c r="Q30" s="8"/>
      <c r="R30" s="8"/>
      <c r="S30" s="8"/>
      <c r="T30" s="8"/>
      <c r="U30" s="8"/>
      <c r="V30" s="8"/>
      <c r="W30" s="9"/>
      <c r="X30" s="9"/>
      <c r="Y30" s="8"/>
      <c r="Z30" s="8"/>
    </row>
    <row r="31" spans="1:26" x14ac:dyDescent="0.35">
      <c r="A31" s="4"/>
      <c r="B31" s="5" t="s">
        <v>23</v>
      </c>
      <c r="C31" s="4"/>
      <c r="D31" s="6">
        <v>46395</v>
      </c>
      <c r="E31" s="6">
        <v>46395</v>
      </c>
      <c r="F31" s="7">
        <f t="shared" si="0"/>
        <v>1</v>
      </c>
      <c r="G31" s="8"/>
      <c r="H31" s="8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8"/>
      <c r="W31" s="9"/>
      <c r="X31" s="9"/>
      <c r="Y31" s="8"/>
      <c r="Z31" s="8"/>
    </row>
  </sheetData>
  <mergeCells count="4">
    <mergeCell ref="A24:A30"/>
    <mergeCell ref="A1:Z1"/>
    <mergeCell ref="A2:Z2"/>
    <mergeCell ref="A16:A22"/>
  </mergeCells>
  <conditionalFormatting sqref="G6:Z6 G15:Z15 G23:Z23 G31:Z31">
    <cfRule type="expression" dxfId="1" priority="2">
      <formula>AND(G$5&lt;=$E6,(G$5+6)&gt;=$D6)</formula>
    </cfRule>
  </conditionalFormatting>
  <conditionalFormatting sqref="G7:Z14 G16:Z22 G24:Z30">
    <cfRule type="expression" dxfId="0" priority="3">
      <formula>AND(G$5&lt;=$E7,(G$5+6)&gt;=$D7)</formula>
    </cfRule>
  </conditionalFormatting>
  <dataValidations count="1">
    <dataValidation type="list" allowBlank="1" sqref="C16:C22 C24:C30 C7:C14 C13" xr:uid="{00000000-0002-0000-0000-000000000000}">
      <formula1>"Alexandre,Issam,Maud,Simon,Tous,À définir"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Drapeau</cp:lastModifiedBy>
  <cp:revision>0</cp:revision>
  <dcterms:created xsi:type="dcterms:W3CDTF">2026-09-14T17:12:27Z</dcterms:created>
  <dcterms:modified xsi:type="dcterms:W3CDTF">2026-09-21T18:11:44Z</dcterms:modified>
  <dc:language>en-US</dc:language>
</cp:coreProperties>
</file>